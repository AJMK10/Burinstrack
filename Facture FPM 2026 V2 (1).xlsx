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FACTURATION\2026\FPM\"/>
    </mc:Choice>
  </mc:AlternateContent>
  <xr:revisionPtr revIDLastSave="0" documentId="8_{0E8668A7-F7EA-4674-A31C-B4DBCAA2246A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Fac Dec 2025" sheetId="44" r:id="rId1"/>
    <sheet name="Fac Janv 2026" sheetId="45" r:id="rId2"/>
    <sheet name="Fac Fevrier 2026)" sheetId="46" r:id="rId3"/>
    <sheet name="Fac Mars 2026" sheetId="47" r:id="rId4"/>
    <sheet name="Fac Avril 2026" sheetId="48" r:id="rId5"/>
    <sheet name="Fac Mai 2026" sheetId="49" r:id="rId6"/>
    <sheet name="Fac Juin 2026" sheetId="50" r:id="rId7"/>
    <sheet name="Fac Juillet 2026" sheetId="52" r:id="rId8"/>
    <sheet name="Fac Aout 2026" sheetId="5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0" i="52" l="1"/>
  <c r="I46" i="52"/>
  <c r="I45" i="52"/>
  <c r="J45" i="52" s="1"/>
  <c r="I44" i="52"/>
  <c r="I43" i="52"/>
  <c r="I42" i="52"/>
  <c r="I41" i="52"/>
  <c r="J41" i="52" s="1"/>
  <c r="I40" i="52"/>
  <c r="I39" i="52"/>
  <c r="I38" i="52"/>
  <c r="K37" i="52" s="1"/>
  <c r="I37" i="52"/>
  <c r="J37" i="52" s="1"/>
  <c r="I36" i="52"/>
  <c r="K35" i="52"/>
  <c r="I35" i="52"/>
  <c r="J35" i="52" s="1"/>
  <c r="I34" i="52"/>
  <c r="K33" i="52"/>
  <c r="I33" i="52"/>
  <c r="J33" i="52" s="1"/>
  <c r="I32" i="52"/>
  <c r="K31" i="52" s="1"/>
  <c r="I31" i="52"/>
  <c r="J31" i="52" s="1"/>
  <c r="I30" i="52"/>
  <c r="I29" i="52"/>
  <c r="I28" i="52"/>
  <c r="K27" i="52"/>
  <c r="I27" i="52"/>
  <c r="I26" i="52"/>
  <c r="I25" i="52"/>
  <c r="I24" i="52"/>
  <c r="I23" i="52"/>
  <c r="J23" i="52" s="1"/>
  <c r="I22" i="52"/>
  <c r="I21" i="52"/>
  <c r="I20" i="52"/>
  <c r="K19" i="52"/>
  <c r="I19" i="52"/>
  <c r="J19" i="52" s="1"/>
  <c r="I18" i="52"/>
  <c r="I17" i="52"/>
  <c r="I16" i="52"/>
  <c r="K15" i="52"/>
  <c r="I15" i="52"/>
  <c r="J15" i="52" s="1"/>
  <c r="K50" i="51"/>
  <c r="I46" i="51"/>
  <c r="I45" i="51"/>
  <c r="I44" i="51"/>
  <c r="I43" i="51"/>
  <c r="I42" i="51"/>
  <c r="I41" i="51"/>
  <c r="I40" i="51"/>
  <c r="I39" i="51"/>
  <c r="I38" i="51"/>
  <c r="K37" i="51" s="1"/>
  <c r="I37" i="51"/>
  <c r="J37" i="51" s="1"/>
  <c r="I36" i="51"/>
  <c r="K35" i="51" s="1"/>
  <c r="I35" i="51"/>
  <c r="J35" i="51" s="1"/>
  <c r="I34" i="51"/>
  <c r="K33" i="51"/>
  <c r="I33" i="51"/>
  <c r="J33" i="51" s="1"/>
  <c r="I32" i="51"/>
  <c r="K31" i="51" s="1"/>
  <c r="I31" i="51"/>
  <c r="J31" i="51" s="1"/>
  <c r="I30" i="51"/>
  <c r="I29" i="51"/>
  <c r="I28" i="51"/>
  <c r="I27" i="51"/>
  <c r="I26" i="51"/>
  <c r="K23" i="51" s="1"/>
  <c r="I25" i="51"/>
  <c r="I24" i="51"/>
  <c r="I23" i="51"/>
  <c r="I22" i="51"/>
  <c r="I21" i="51"/>
  <c r="K19" i="51" s="1"/>
  <c r="I20" i="51"/>
  <c r="I19" i="51"/>
  <c r="I18" i="51"/>
  <c r="I17" i="51"/>
  <c r="I16" i="51"/>
  <c r="I15" i="51"/>
  <c r="I58" i="50"/>
  <c r="J23" i="51" l="1"/>
  <c r="J19" i="51"/>
  <c r="J15" i="51"/>
  <c r="K27" i="51"/>
  <c r="K23" i="52"/>
  <c r="J27" i="52"/>
  <c r="J27" i="51"/>
  <c r="F51" i="52"/>
  <c r="I51" i="52" s="1"/>
  <c r="K51" i="52" s="1"/>
  <c r="J43" i="52"/>
  <c r="J39" i="52"/>
  <c r="F50" i="52" s="1"/>
  <c r="J43" i="51"/>
  <c r="J39" i="51"/>
  <c r="J41" i="51"/>
  <c r="I54" i="52"/>
  <c r="I56" i="52" s="1"/>
  <c r="J45" i="51"/>
  <c r="K15" i="51"/>
  <c r="F51" i="51" s="1"/>
  <c r="I51" i="51" s="1"/>
  <c r="K51" i="51" s="1"/>
  <c r="I54" i="51" s="1"/>
  <c r="I56" i="51" s="1"/>
  <c r="K50" i="50"/>
  <c r="I46" i="50"/>
  <c r="I45" i="50"/>
  <c r="J45" i="50" s="1"/>
  <c r="I44" i="50"/>
  <c r="I43" i="50"/>
  <c r="I42" i="50"/>
  <c r="I41" i="50"/>
  <c r="J41" i="50" s="1"/>
  <c r="I40" i="50"/>
  <c r="I39" i="50"/>
  <c r="I38" i="50"/>
  <c r="K37" i="50"/>
  <c r="I37" i="50"/>
  <c r="J37" i="50" s="1"/>
  <c r="I36" i="50"/>
  <c r="K35" i="50"/>
  <c r="I35" i="50"/>
  <c r="J35" i="50" s="1"/>
  <c r="I34" i="50"/>
  <c r="K33" i="50" s="1"/>
  <c r="I33" i="50"/>
  <c r="J33" i="50" s="1"/>
  <c r="I32" i="50"/>
  <c r="K31" i="50" s="1"/>
  <c r="I31" i="50"/>
  <c r="J31" i="50" s="1"/>
  <c r="I30" i="50"/>
  <c r="I29" i="50"/>
  <c r="I28" i="50"/>
  <c r="I27" i="50"/>
  <c r="J27" i="50" s="1"/>
  <c r="I26" i="50"/>
  <c r="I25" i="50"/>
  <c r="K23" i="50" s="1"/>
  <c r="I24" i="50"/>
  <c r="I23" i="50"/>
  <c r="J23" i="50" s="1"/>
  <c r="I22" i="50"/>
  <c r="I21" i="50"/>
  <c r="K19" i="50" s="1"/>
  <c r="I20" i="50"/>
  <c r="I19" i="50"/>
  <c r="J19" i="50" s="1"/>
  <c r="I18" i="50"/>
  <c r="I17" i="50"/>
  <c r="I16" i="50"/>
  <c r="I15" i="50"/>
  <c r="K50" i="49"/>
  <c r="I46" i="49"/>
  <c r="I45" i="49"/>
  <c r="J45" i="49" s="1"/>
  <c r="I44" i="49"/>
  <c r="I43" i="49"/>
  <c r="I42" i="49"/>
  <c r="I41" i="49"/>
  <c r="I40" i="49"/>
  <c r="J39" i="49" s="1"/>
  <c r="I39" i="49"/>
  <c r="I38" i="49"/>
  <c r="K37" i="49" s="1"/>
  <c r="I37" i="49"/>
  <c r="J37" i="49" s="1"/>
  <c r="I36" i="49"/>
  <c r="K35" i="49" s="1"/>
  <c r="I35" i="49"/>
  <c r="J35" i="49" s="1"/>
  <c r="I34" i="49"/>
  <c r="K33" i="49" s="1"/>
  <c r="I33" i="49"/>
  <c r="J33" i="49" s="1"/>
  <c r="I32" i="49"/>
  <c r="K31" i="49" s="1"/>
  <c r="I31" i="49"/>
  <c r="J31" i="49" s="1"/>
  <c r="I30" i="49"/>
  <c r="K27" i="49" s="1"/>
  <c r="I29" i="49"/>
  <c r="I28" i="49"/>
  <c r="I27" i="49"/>
  <c r="J27" i="49" s="1"/>
  <c r="I26" i="49"/>
  <c r="I25" i="49"/>
  <c r="K23" i="49" s="1"/>
  <c r="I24" i="49"/>
  <c r="I23" i="49"/>
  <c r="J23" i="49" s="1"/>
  <c r="I22" i="49"/>
  <c r="I21" i="49"/>
  <c r="I20" i="49"/>
  <c r="I19" i="49"/>
  <c r="J19" i="49" s="1"/>
  <c r="I18" i="49"/>
  <c r="I17" i="49"/>
  <c r="K15" i="49" s="1"/>
  <c r="I16" i="49"/>
  <c r="I15" i="49"/>
  <c r="J15" i="49" s="1"/>
  <c r="K50" i="48"/>
  <c r="I46" i="48"/>
  <c r="I45" i="48"/>
  <c r="I44" i="48"/>
  <c r="I43" i="48"/>
  <c r="I42" i="48"/>
  <c r="I41" i="48"/>
  <c r="J41" i="48" s="1"/>
  <c r="I40" i="48"/>
  <c r="I39" i="48"/>
  <c r="J39" i="48" s="1"/>
  <c r="I38" i="48"/>
  <c r="K37" i="48" s="1"/>
  <c r="I37" i="48"/>
  <c r="J37" i="48" s="1"/>
  <c r="I36" i="48"/>
  <c r="K35" i="48"/>
  <c r="I35" i="48"/>
  <c r="J35" i="48" s="1"/>
  <c r="I34" i="48"/>
  <c r="K33" i="48" s="1"/>
  <c r="I33" i="48"/>
  <c r="J33" i="48" s="1"/>
  <c r="I32" i="48"/>
  <c r="K31" i="48"/>
  <c r="I31" i="48"/>
  <c r="J31" i="48" s="1"/>
  <c r="I30" i="48"/>
  <c r="I29" i="48"/>
  <c r="I28" i="48"/>
  <c r="K27" i="48"/>
  <c r="I27" i="48"/>
  <c r="J27" i="48" s="1"/>
  <c r="I26" i="48"/>
  <c r="I25" i="48"/>
  <c r="K23" i="48" s="1"/>
  <c r="I24" i="48"/>
  <c r="I23" i="48"/>
  <c r="J23" i="48" s="1"/>
  <c r="I22" i="48"/>
  <c r="I21" i="48"/>
  <c r="I20" i="48"/>
  <c r="K19" i="48"/>
  <c r="I19" i="48"/>
  <c r="J19" i="48" s="1"/>
  <c r="I18" i="48"/>
  <c r="I17" i="48"/>
  <c r="K15" i="48" s="1"/>
  <c r="I16" i="48"/>
  <c r="I15" i="48"/>
  <c r="J15" i="48" s="1"/>
  <c r="K50" i="47"/>
  <c r="I46" i="47"/>
  <c r="I45" i="47"/>
  <c r="J45" i="47" s="1"/>
  <c r="I44" i="47"/>
  <c r="I43" i="47"/>
  <c r="I42" i="47"/>
  <c r="I41" i="47"/>
  <c r="I40" i="47"/>
  <c r="I39" i="47"/>
  <c r="J39" i="47" s="1"/>
  <c r="I38" i="47"/>
  <c r="K37" i="47" s="1"/>
  <c r="I37" i="47"/>
  <c r="J37" i="47" s="1"/>
  <c r="I36" i="47"/>
  <c r="K35" i="47" s="1"/>
  <c r="I35" i="47"/>
  <c r="J35" i="47" s="1"/>
  <c r="I34" i="47"/>
  <c r="K33" i="47"/>
  <c r="I33" i="47"/>
  <c r="J33" i="47" s="1"/>
  <c r="I32" i="47"/>
  <c r="K31" i="47"/>
  <c r="I31" i="47"/>
  <c r="J31" i="47" s="1"/>
  <c r="I30" i="47"/>
  <c r="K27" i="47" s="1"/>
  <c r="I29" i="47"/>
  <c r="I28" i="47"/>
  <c r="I27" i="47"/>
  <c r="I26" i="47"/>
  <c r="I25" i="47"/>
  <c r="K23" i="47" s="1"/>
  <c r="I24" i="47"/>
  <c r="I23" i="47"/>
  <c r="J23" i="47" s="1"/>
  <c r="I22" i="47"/>
  <c r="I21" i="47"/>
  <c r="K19" i="47" s="1"/>
  <c r="I20" i="47"/>
  <c r="I19" i="47"/>
  <c r="I18" i="47"/>
  <c r="I17" i="47"/>
  <c r="I16" i="47"/>
  <c r="I15" i="47"/>
  <c r="K50" i="46"/>
  <c r="I46" i="46"/>
  <c r="I45" i="46"/>
  <c r="I44" i="46"/>
  <c r="I43" i="46"/>
  <c r="I42" i="46"/>
  <c r="I41" i="46"/>
  <c r="J41" i="46" s="1"/>
  <c r="I40" i="46"/>
  <c r="I39" i="46"/>
  <c r="I38" i="46"/>
  <c r="K37" i="46" s="1"/>
  <c r="I37" i="46"/>
  <c r="J37" i="46" s="1"/>
  <c r="I36" i="46"/>
  <c r="K35" i="46" s="1"/>
  <c r="I35" i="46"/>
  <c r="J35" i="46" s="1"/>
  <c r="I34" i="46"/>
  <c r="K33" i="46" s="1"/>
  <c r="I33" i="46"/>
  <c r="J33" i="46" s="1"/>
  <c r="I32" i="46"/>
  <c r="K31" i="46" s="1"/>
  <c r="I31" i="46"/>
  <c r="J31" i="46" s="1"/>
  <c r="I30" i="46"/>
  <c r="I29" i="46"/>
  <c r="K27" i="46" s="1"/>
  <c r="I28" i="46"/>
  <c r="I27" i="46"/>
  <c r="J27" i="46" s="1"/>
  <c r="I26" i="46"/>
  <c r="I25" i="46"/>
  <c r="I24" i="46"/>
  <c r="I23" i="46"/>
  <c r="I22" i="46"/>
  <c r="I21" i="46"/>
  <c r="I20" i="46"/>
  <c r="I19" i="46"/>
  <c r="J19" i="46" s="1"/>
  <c r="I18" i="46"/>
  <c r="I17" i="46"/>
  <c r="K15" i="46" s="1"/>
  <c r="I16" i="46"/>
  <c r="I15" i="46"/>
  <c r="J15" i="46" s="1"/>
  <c r="K37" i="45"/>
  <c r="K50" i="45"/>
  <c r="I46" i="45"/>
  <c r="I45" i="45"/>
  <c r="I44" i="45"/>
  <c r="I43" i="45"/>
  <c r="J43" i="45" s="1"/>
  <c r="I42" i="45"/>
  <c r="I41" i="45"/>
  <c r="J41" i="45" s="1"/>
  <c r="I40" i="45"/>
  <c r="I39" i="45"/>
  <c r="I38" i="45"/>
  <c r="I37" i="45"/>
  <c r="J37" i="45" s="1"/>
  <c r="I36" i="45"/>
  <c r="K35" i="45"/>
  <c r="I35" i="45"/>
  <c r="J35" i="45" s="1"/>
  <c r="I34" i="45"/>
  <c r="K33" i="45" s="1"/>
  <c r="I33" i="45"/>
  <c r="J33" i="45" s="1"/>
  <c r="I32" i="45"/>
  <c r="K31" i="45" s="1"/>
  <c r="I31" i="45"/>
  <c r="J31" i="45" s="1"/>
  <c r="I30" i="45"/>
  <c r="K27" i="45" s="1"/>
  <c r="I29" i="45"/>
  <c r="I28" i="45"/>
  <c r="I27" i="45"/>
  <c r="I26" i="45"/>
  <c r="I25" i="45"/>
  <c r="I24" i="45"/>
  <c r="I23" i="45"/>
  <c r="J23" i="45" s="1"/>
  <c r="I22" i="45"/>
  <c r="I21" i="45"/>
  <c r="I20" i="45"/>
  <c r="I19" i="45"/>
  <c r="J19" i="45" s="1"/>
  <c r="I18" i="45"/>
  <c r="I17" i="45"/>
  <c r="I16" i="45"/>
  <c r="I15" i="45"/>
  <c r="J15" i="45" s="1"/>
  <c r="F50" i="44"/>
  <c r="F51" i="44"/>
  <c r="K50" i="44"/>
  <c r="I46" i="44"/>
  <c r="I45" i="44"/>
  <c r="J45" i="44" s="1"/>
  <c r="I44" i="44"/>
  <c r="I43" i="44"/>
  <c r="I42" i="44"/>
  <c r="I41" i="44"/>
  <c r="I40" i="44"/>
  <c r="I39" i="44"/>
  <c r="I38" i="44"/>
  <c r="K37" i="44" s="1"/>
  <c r="I37" i="44"/>
  <c r="J37" i="44" s="1"/>
  <c r="I36" i="44"/>
  <c r="K35" i="44" s="1"/>
  <c r="I35" i="44"/>
  <c r="J35" i="44" s="1"/>
  <c r="I34" i="44"/>
  <c r="K33" i="44" s="1"/>
  <c r="I33" i="44"/>
  <c r="J33" i="44" s="1"/>
  <c r="I32" i="44"/>
  <c r="K31" i="44" s="1"/>
  <c r="I31" i="44"/>
  <c r="J31" i="44" s="1"/>
  <c r="I30" i="44"/>
  <c r="I29" i="44"/>
  <c r="K27" i="44" s="1"/>
  <c r="I28" i="44"/>
  <c r="I27" i="44"/>
  <c r="I26" i="44"/>
  <c r="I25" i="44"/>
  <c r="I24" i="44"/>
  <c r="I23" i="44"/>
  <c r="I22" i="44"/>
  <c r="I21" i="44"/>
  <c r="K19" i="44" s="1"/>
  <c r="I20" i="44"/>
  <c r="I19" i="44"/>
  <c r="I18" i="44"/>
  <c r="I17" i="44"/>
  <c r="I16" i="44"/>
  <c r="I15" i="44"/>
  <c r="J15" i="44" s="1"/>
  <c r="F50" i="51" l="1"/>
  <c r="I57" i="52"/>
  <c r="I58" i="52" s="1"/>
  <c r="I57" i="51"/>
  <c r="I58" i="51" s="1"/>
  <c r="J39" i="50"/>
  <c r="K27" i="50"/>
  <c r="K15" i="50"/>
  <c r="J15" i="50"/>
  <c r="J43" i="50"/>
  <c r="F51" i="50"/>
  <c r="I51" i="50" s="1"/>
  <c r="K51" i="50" s="1"/>
  <c r="I54" i="50" s="1"/>
  <c r="I56" i="50" s="1"/>
  <c r="I57" i="50" s="1"/>
  <c r="F50" i="50"/>
  <c r="K19" i="49"/>
  <c r="F51" i="49"/>
  <c r="I51" i="49" s="1"/>
  <c r="K51" i="49" s="1"/>
  <c r="I54" i="49" s="1"/>
  <c r="I56" i="49" s="1"/>
  <c r="J41" i="49"/>
  <c r="J43" i="49"/>
  <c r="J43" i="48"/>
  <c r="J45" i="48"/>
  <c r="F50" i="48"/>
  <c r="F51" i="48"/>
  <c r="I51" i="48" s="1"/>
  <c r="K51" i="48" s="1"/>
  <c r="I54" i="48"/>
  <c r="I56" i="48" s="1"/>
  <c r="J43" i="47"/>
  <c r="J41" i="47"/>
  <c r="J27" i="47"/>
  <c r="J19" i="47"/>
  <c r="J15" i="47"/>
  <c r="F50" i="47"/>
  <c r="K15" i="47"/>
  <c r="F51" i="47"/>
  <c r="I51" i="47" s="1"/>
  <c r="K51" i="47" s="1"/>
  <c r="I54" i="47" s="1"/>
  <c r="I56" i="47" s="1"/>
  <c r="J45" i="46"/>
  <c r="J43" i="46"/>
  <c r="J39" i="46"/>
  <c r="K19" i="46"/>
  <c r="K23" i="46"/>
  <c r="J23" i="46"/>
  <c r="F50" i="46" s="1"/>
  <c r="J39" i="45"/>
  <c r="J27" i="45"/>
  <c r="K23" i="45"/>
  <c r="K19" i="45"/>
  <c r="K15" i="45"/>
  <c r="F51" i="45" s="1"/>
  <c r="I51" i="45" s="1"/>
  <c r="K51" i="45" s="1"/>
  <c r="I54" i="45" s="1"/>
  <c r="I56" i="45" s="1"/>
  <c r="J45" i="45"/>
  <c r="F50" i="45" s="1"/>
  <c r="J41" i="44"/>
  <c r="J39" i="44"/>
  <c r="J23" i="44"/>
  <c r="K23" i="44"/>
  <c r="J43" i="44"/>
  <c r="J27" i="44"/>
  <c r="K15" i="44"/>
  <c r="I51" i="44" s="1"/>
  <c r="K51" i="44" s="1"/>
  <c r="I54" i="44" s="1"/>
  <c r="I56" i="44" s="1"/>
  <c r="J19" i="44"/>
  <c r="F50" i="49" l="1"/>
  <c r="I57" i="49"/>
  <c r="I58" i="49" s="1"/>
  <c r="I57" i="48"/>
  <c r="I58" i="48" s="1"/>
  <c r="I57" i="47"/>
  <c r="I58" i="47" s="1"/>
  <c r="F51" i="46"/>
  <c r="I51" i="46" s="1"/>
  <c r="K51" i="46" s="1"/>
  <c r="I54" i="46" s="1"/>
  <c r="I56" i="46" s="1"/>
  <c r="I57" i="46" s="1"/>
  <c r="I58" i="46" s="1"/>
  <c r="I57" i="45"/>
  <c r="I58" i="45" s="1"/>
  <c r="I57" i="44"/>
  <c r="I58" i="44" s="1"/>
</calcChain>
</file>

<file path=xl/sharedStrings.xml><?xml version="1.0" encoding="utf-8"?>
<sst xmlns="http://schemas.openxmlformats.org/spreadsheetml/2006/main" count="972" uniqueCount="95">
  <si>
    <t>CONTRAT N°</t>
  </si>
  <si>
    <t>CLIENT:</t>
  </si>
  <si>
    <t>Copieurs</t>
  </si>
  <si>
    <t>N° séries</t>
  </si>
  <si>
    <t xml:space="preserve">F CFA </t>
  </si>
  <si>
    <t>TOTAL HT</t>
  </si>
  <si>
    <t>Monochrome</t>
  </si>
  <si>
    <t>Couleur</t>
  </si>
  <si>
    <t>Copies Supplémentaires</t>
  </si>
  <si>
    <t>Copies Effectuées</t>
  </si>
  <si>
    <t>Format Papier</t>
  </si>
  <si>
    <t>Forfaits Copies</t>
  </si>
  <si>
    <t>Nombre de copies effectuées en unités de A4 et Forfaits</t>
  </si>
  <si>
    <t>Relévés Compteurs Copies</t>
  </si>
  <si>
    <t>MOIS</t>
  </si>
  <si>
    <t>TVA 18%</t>
  </si>
  <si>
    <t>Arrêtée la présente facture à la somme de:</t>
  </si>
  <si>
    <t>Volume copie sup</t>
  </si>
  <si>
    <t>cout copie sup</t>
  </si>
  <si>
    <t>COUT FORFAIT HT</t>
  </si>
  <si>
    <t>TOTAL COUT COPIE SUP HT</t>
  </si>
  <si>
    <t>Cout Total Copie Sup HT</t>
  </si>
  <si>
    <t>TOTAL TTC</t>
  </si>
  <si>
    <t xml:space="preserve">  Date</t>
  </si>
  <si>
    <t>CANON imageRUNNER Advance DX C5850i</t>
  </si>
  <si>
    <t>Canon imageRUNNER C1538iF</t>
  </si>
  <si>
    <t>2YA21855</t>
  </si>
  <si>
    <t xml:space="preserve"> Format A3 Mono</t>
  </si>
  <si>
    <t>Format A4 Mono</t>
  </si>
  <si>
    <t xml:space="preserve">Format A4 Mono </t>
  </si>
  <si>
    <t xml:space="preserve"> Format A3 Mono  </t>
  </si>
  <si>
    <t>Departement</t>
  </si>
  <si>
    <t>Service Courrier</t>
  </si>
  <si>
    <t>DCSID</t>
  </si>
  <si>
    <t>3EB04419</t>
  </si>
  <si>
    <t>Secrétariat DCFF</t>
  </si>
  <si>
    <t>3EB04427</t>
  </si>
  <si>
    <t>Secrétariat DG</t>
  </si>
  <si>
    <t>Canon imageRUNNER 29545i</t>
  </si>
  <si>
    <t>Canon imageRUNNER 29530i</t>
  </si>
  <si>
    <t>DPMMD</t>
  </si>
  <si>
    <t>4PT00512</t>
  </si>
  <si>
    <t>Compta MMD</t>
  </si>
  <si>
    <t>4PT00509</t>
  </si>
  <si>
    <t>Compta PERM</t>
  </si>
  <si>
    <t>4PT00506</t>
  </si>
  <si>
    <t>Service PRET</t>
  </si>
  <si>
    <t>4TN04857</t>
  </si>
  <si>
    <t>V COPIE MONOCHROME</t>
  </si>
  <si>
    <t>V COPIE COULEUR</t>
  </si>
  <si>
    <t>Volumes Copies Effectuées</t>
  </si>
  <si>
    <t>Format A3 Coul</t>
  </si>
  <si>
    <t>Format A4 Coul</t>
  </si>
  <si>
    <t>11936/MEMDEF/FPM/DG/DJC</t>
  </si>
  <si>
    <t>N°: 1D/0032016/CI</t>
  </si>
  <si>
    <t xml:space="preserve">TEL: +225 27 20 25 35 35     </t>
  </si>
  <si>
    <t>3EB04410</t>
  </si>
  <si>
    <t>FPM (Fonds de Prévoyance  Militaire</t>
  </si>
  <si>
    <t>DECEMBRE</t>
  </si>
  <si>
    <t>JANVIER</t>
  </si>
  <si>
    <t>FEVRIER</t>
  </si>
  <si>
    <t>MARS</t>
  </si>
  <si>
    <t>AVRIL</t>
  </si>
  <si>
    <t>MAI</t>
  </si>
  <si>
    <t>JUIN</t>
  </si>
  <si>
    <t>CANON imageRUNNER  C3326i</t>
  </si>
  <si>
    <t>4ND13452</t>
  </si>
  <si>
    <t>DRH</t>
  </si>
  <si>
    <t>PRM</t>
  </si>
  <si>
    <t>4ND13384</t>
  </si>
  <si>
    <t>4ND23369</t>
  </si>
  <si>
    <t>Archives</t>
  </si>
  <si>
    <t>Regis</t>
  </si>
  <si>
    <t>Compteurs fin Nov 2025</t>
  </si>
  <si>
    <t>Compteurs fin Déc 2025</t>
  </si>
  <si>
    <t>3EB02228</t>
  </si>
  <si>
    <t xml:space="preserve"> Un million quatre cent onze mille quatre cent cinq sept francs CFA TTC</t>
  </si>
  <si>
    <t>Compteurs fin Janv 2026</t>
  </si>
  <si>
    <t xml:space="preserve"> Un million sept cent quatre vingt dix neuf mille six cent soixante dix sept francs CFA TTC</t>
  </si>
  <si>
    <t>Compteurs fin Fev 2026</t>
  </si>
  <si>
    <t xml:space="preserve"> Un million troi cent vingt deux mille cent trente un francs CFA TTC</t>
  </si>
  <si>
    <t xml:space="preserve"> Un million sept cent quatre-vingt mille neuf cent quinze francs CFA TTC</t>
  </si>
  <si>
    <t>Compteurs fin Mars 2026</t>
  </si>
  <si>
    <t>Compteurs fin Avril 2026</t>
  </si>
  <si>
    <t xml:space="preserve"> Un million quatre cent dix-huit mille quatre cent soixante dix huit francs CFA TTC</t>
  </si>
  <si>
    <t>Compteurs fin Mai 2026</t>
  </si>
  <si>
    <t xml:space="preserve"> Un million deux cent trente quatre mille cent trois francs CFA TTC</t>
  </si>
  <si>
    <t>Compteurs fin Juin 2026</t>
  </si>
  <si>
    <t xml:space="preserve"> Un million six cent quarante-neuf mille deux cent vingt-sept francs CFA TTC</t>
  </si>
  <si>
    <t>Compteurs fin Juill 2026</t>
  </si>
  <si>
    <t>Compteurs fin Aout 2026</t>
  </si>
  <si>
    <t>JUILLET</t>
  </si>
  <si>
    <t xml:space="preserve"> Un million quatre cent cinquante-neuf mille soixante-dix francs CFA TTC</t>
  </si>
  <si>
    <t>AOUT</t>
  </si>
  <si>
    <t xml:space="preserve"> Un million six cent trente-cinq mille sept cent seize francs CFA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</si>
</sst>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[$-40C]d\ mmmm\ yyyy;@"/>
  </numFmts>
  <fonts count="3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8"/>
      <color theme="1"/>
      <name val="Tahoma"/>
      <family val="2"/>
    </font>
    <font>
      <sz val="14"/>
      <color theme="1"/>
      <name val="Century Gothic"/>
      <family val="2"/>
      <scheme val="minor"/>
    </font>
    <font>
      <b/>
      <sz val="20"/>
      <name val="Tahoma"/>
      <family val="2"/>
    </font>
    <font>
      <u/>
      <sz val="11"/>
      <color theme="10"/>
      <name val="Calibri"/>
      <family val="2"/>
    </font>
    <font>
      <u/>
      <sz val="18"/>
      <color theme="10"/>
      <name val="Arial Narrow"/>
      <family val="2"/>
    </font>
    <font>
      <b/>
      <sz val="14"/>
      <color theme="1"/>
      <name val="Arial Narrow"/>
      <family val="2"/>
    </font>
    <font>
      <b/>
      <sz val="22"/>
      <color theme="1"/>
      <name val="Times New Roman"/>
      <family val="1"/>
    </font>
    <font>
      <b/>
      <sz val="14"/>
      <name val="Century Gothic"/>
      <family val="2"/>
      <scheme val="minor"/>
    </font>
    <font>
      <b/>
      <sz val="20"/>
      <color theme="1"/>
      <name val="Century Gothic"/>
      <family val="2"/>
      <scheme val="minor"/>
    </font>
    <font>
      <b/>
      <sz val="14"/>
      <color rgb="FF000000"/>
      <name val="Calibri"/>
      <family val="2"/>
    </font>
    <font>
      <b/>
      <sz val="18"/>
      <name val="Century Gothic"/>
      <family val="2"/>
      <scheme val="minor"/>
    </font>
    <font>
      <b/>
      <sz val="20"/>
      <color rgb="FF000000"/>
      <name val="Century Gothic"/>
      <family val="2"/>
      <scheme val="minor"/>
    </font>
    <font>
      <b/>
      <sz val="24"/>
      <color theme="1"/>
      <name val="Century Gothic"/>
      <family val="2"/>
      <scheme val="minor"/>
    </font>
    <font>
      <sz val="18"/>
      <color rgb="FF000000"/>
      <name val="Century Gothic"/>
      <family val="2"/>
      <scheme val="minor"/>
    </font>
    <font>
      <b/>
      <sz val="24"/>
      <color rgb="FF000000"/>
      <name val="Century Gothic"/>
      <family val="2"/>
      <scheme val="minor"/>
    </font>
    <font>
      <b/>
      <sz val="28"/>
      <color theme="1"/>
      <name val="Century Gothic"/>
      <family val="2"/>
      <scheme val="minor"/>
    </font>
    <font>
      <b/>
      <sz val="18"/>
      <color rgb="FF000000"/>
      <name val="Century Gothic"/>
      <family val="2"/>
      <scheme val="minor"/>
    </font>
    <font>
      <b/>
      <sz val="20"/>
      <color rgb="FF000000"/>
      <name val="Calibri"/>
      <family val="2"/>
    </font>
    <font>
      <b/>
      <sz val="26"/>
      <color theme="1"/>
      <name val="Tahoma"/>
      <family val="2"/>
    </font>
    <font>
      <b/>
      <sz val="26"/>
      <color rgb="FFFF0000"/>
      <name val="Tahoma"/>
      <family val="2"/>
    </font>
    <font>
      <sz val="26"/>
      <color theme="1"/>
      <name val="Tahoma"/>
      <family val="2"/>
    </font>
    <font>
      <b/>
      <u/>
      <sz val="28"/>
      <color theme="10"/>
      <name val="Arial Narrow"/>
      <family val="2"/>
    </font>
    <font>
      <b/>
      <sz val="24"/>
      <name val="Century Gothic"/>
      <family val="2"/>
      <scheme val="minor"/>
    </font>
    <font>
      <b/>
      <sz val="24"/>
      <name val="Tahoma"/>
      <family val="2"/>
    </font>
    <font>
      <b/>
      <sz val="20"/>
      <color rgb="FFC00000"/>
      <name val="Century Gothic"/>
      <family val="2"/>
      <scheme val="minor"/>
    </font>
    <font>
      <sz val="18"/>
      <color theme="1"/>
      <name val="Century Gothic"/>
      <family val="2"/>
      <scheme val="minor"/>
    </font>
    <font>
      <b/>
      <sz val="28"/>
      <color theme="10"/>
      <name val="Arial Narrow"/>
      <family val="2"/>
    </font>
    <font>
      <sz val="28"/>
      <name val="Tahoma"/>
      <family val="2"/>
    </font>
    <font>
      <sz val="28"/>
      <color theme="1"/>
      <name val="Century Gothic"/>
      <family val="2"/>
      <scheme val="minor"/>
    </font>
    <font>
      <b/>
      <sz val="18"/>
      <color rgb="FFC00000"/>
      <name val="Century Gothic"/>
      <family val="2"/>
      <scheme val="minor"/>
    </font>
    <font>
      <b/>
      <sz val="36"/>
      <color theme="1"/>
      <name val="Century Gothic"/>
      <family val="2"/>
      <scheme val="minor"/>
    </font>
    <font>
      <b/>
      <sz val="32"/>
      <color theme="1"/>
      <name val="Times New Roman"/>
      <family val="1"/>
    </font>
    <font>
      <b/>
      <sz val="32"/>
      <color theme="1"/>
      <name val="Arial Narrow"/>
      <family val="2"/>
    </font>
    <font>
      <b/>
      <u/>
      <sz val="32"/>
      <color theme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/>
  </cellStyleXfs>
  <cellXfs count="168">
    <xf numFmtId="0" fontId="0" fillId="0" borderId="0" xfId="0"/>
    <xf numFmtId="164" fontId="0" fillId="0" borderId="0" xfId="1" applyNumberFormat="1" applyFont="1"/>
    <xf numFmtId="0" fontId="4" fillId="0" borderId="0" xfId="0" applyFont="1"/>
    <xf numFmtId="0" fontId="7" fillId="0" borderId="0" xfId="2" applyFont="1" applyBorder="1" applyAlignment="1" applyProtection="1"/>
    <xf numFmtId="165" fontId="3" fillId="0" borderId="0" xfId="1" applyNumberFormat="1" applyFont="1" applyBorder="1" applyAlignment="1">
      <alignment horizontal="left" vertical="center"/>
    </xf>
    <xf numFmtId="164" fontId="0" fillId="0" borderId="0" xfId="1" applyNumberFormat="1" applyFont="1" applyBorder="1"/>
    <xf numFmtId="164" fontId="4" fillId="0" borderId="0" xfId="0" applyNumberFormat="1" applyFont="1" applyAlignment="1">
      <alignment horizontal="center"/>
    </xf>
    <xf numFmtId="0" fontId="0" fillId="3" borderId="0" xfId="0" applyFill="1"/>
    <xf numFmtId="164" fontId="10" fillId="0" borderId="0" xfId="1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2" fillId="0" borderId="0" xfId="1" applyNumberFormat="1" applyFont="1" applyBorder="1" applyAlignment="1">
      <alignment vertical="center"/>
    </xf>
    <xf numFmtId="164" fontId="15" fillId="0" borderId="0" xfId="1" applyNumberFormat="1" applyFont="1" applyBorder="1" applyAlignment="1">
      <alignment horizontal="center" vertical="center"/>
    </xf>
    <xf numFmtId="164" fontId="16" fillId="3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13" fillId="0" borderId="14" xfId="1" applyNumberFormat="1" applyFont="1" applyBorder="1" applyAlignment="1">
      <alignment horizontal="right" vertical="center"/>
    </xf>
    <xf numFmtId="0" fontId="4" fillId="3" borderId="0" xfId="0" applyFont="1" applyFill="1" applyAlignment="1">
      <alignment horizontal="right"/>
    </xf>
    <xf numFmtId="164" fontId="13" fillId="0" borderId="17" xfId="1" applyNumberFormat="1" applyFont="1" applyBorder="1" applyAlignment="1">
      <alignment horizontal="right" vertical="center"/>
    </xf>
    <xf numFmtId="0" fontId="12" fillId="4" borderId="0" xfId="0" applyFont="1" applyFill="1" applyAlignment="1">
      <alignment horizontal="left" vertical="center" wrapText="1"/>
    </xf>
    <xf numFmtId="164" fontId="19" fillId="0" borderId="14" xfId="1" applyNumberFormat="1" applyFont="1" applyBorder="1" applyAlignment="1">
      <alignment horizontal="left" vertical="center" wrapText="1"/>
    </xf>
    <xf numFmtId="164" fontId="19" fillId="0" borderId="16" xfId="1" applyNumberFormat="1" applyFont="1" applyBorder="1" applyAlignment="1">
      <alignment horizontal="center" vertical="center"/>
    </xf>
    <xf numFmtId="164" fontId="19" fillId="0" borderId="17" xfId="1" applyNumberFormat="1" applyFont="1" applyBorder="1" applyAlignment="1">
      <alignment horizontal="left" vertical="center" wrapText="1"/>
    </xf>
    <xf numFmtId="164" fontId="19" fillId="0" borderId="19" xfId="1" applyNumberFormat="1" applyFont="1" applyBorder="1" applyAlignment="1">
      <alignment horizontal="center" vertical="center"/>
    </xf>
    <xf numFmtId="164" fontId="15" fillId="3" borderId="16" xfId="0" applyNumberFormat="1" applyFont="1" applyFill="1" applyBorder="1" applyAlignment="1">
      <alignment horizontal="left" vertical="center"/>
    </xf>
    <xf numFmtId="164" fontId="26" fillId="0" borderId="39" xfId="1" applyNumberFormat="1" applyFont="1" applyBorder="1" applyAlignment="1">
      <alignment vertical="center" wrapText="1"/>
    </xf>
    <xf numFmtId="164" fontId="15" fillId="5" borderId="19" xfId="0" applyNumberFormat="1" applyFont="1" applyFill="1" applyBorder="1" applyAlignment="1">
      <alignment horizontal="left" vertical="center"/>
    </xf>
    <xf numFmtId="164" fontId="15" fillId="3" borderId="19" xfId="0" applyNumberFormat="1" applyFont="1" applyFill="1" applyBorder="1" applyAlignment="1">
      <alignment horizontal="left" vertical="center"/>
    </xf>
    <xf numFmtId="0" fontId="13" fillId="3" borderId="0" xfId="0" applyFont="1" applyFill="1" applyAlignment="1">
      <alignment horizontal="center" vertical="center" wrapText="1"/>
    </xf>
    <xf numFmtId="0" fontId="28" fillId="0" borderId="0" xfId="0" applyFont="1"/>
    <xf numFmtId="164" fontId="21" fillId="0" borderId="43" xfId="1" applyNumberFormat="1" applyFont="1" applyBorder="1" applyAlignment="1">
      <alignment vertical="center"/>
    </xf>
    <xf numFmtId="164" fontId="21" fillId="0" borderId="38" xfId="1" applyNumberFormat="1" applyFont="1" applyBorder="1" applyAlignment="1">
      <alignment vertical="center"/>
    </xf>
    <xf numFmtId="164" fontId="22" fillId="0" borderId="42" xfId="1" applyNumberFormat="1" applyFont="1" applyBorder="1" applyAlignment="1">
      <alignment vertical="center"/>
    </xf>
    <xf numFmtId="164" fontId="22" fillId="0" borderId="7" xfId="1" applyNumberFormat="1" applyFont="1" applyBorder="1" applyAlignment="1">
      <alignment vertical="center"/>
    </xf>
    <xf numFmtId="0" fontId="29" fillId="0" borderId="41" xfId="2" applyFont="1" applyBorder="1" applyAlignment="1" applyProtection="1">
      <alignment horizontal="left" vertical="center"/>
    </xf>
    <xf numFmtId="0" fontId="24" fillId="0" borderId="40" xfId="2" applyFont="1" applyBorder="1" applyAlignment="1" applyProtection="1">
      <alignment horizontal="left" vertical="center"/>
    </xf>
    <xf numFmtId="164" fontId="13" fillId="6" borderId="28" xfId="1" applyNumberFormat="1" applyFont="1" applyFill="1" applyBorder="1" applyAlignment="1">
      <alignment horizontal="center" vertical="center" wrapText="1"/>
    </xf>
    <xf numFmtId="164" fontId="13" fillId="6" borderId="29" xfId="1" applyNumberFormat="1" applyFont="1" applyFill="1" applyBorder="1" applyAlignment="1">
      <alignment horizontal="center" vertical="center" wrapText="1"/>
    </xf>
    <xf numFmtId="164" fontId="19" fillId="0" borderId="33" xfId="1" applyNumberFormat="1" applyFont="1" applyBorder="1" applyAlignment="1">
      <alignment horizontal="left" vertical="center" wrapText="1"/>
    </xf>
    <xf numFmtId="164" fontId="19" fillId="0" borderId="39" xfId="1" applyNumberFormat="1" applyFont="1" applyBorder="1" applyAlignment="1">
      <alignment horizontal="center" vertical="center"/>
    </xf>
    <xf numFmtId="164" fontId="13" fillId="0" borderId="33" xfId="1" applyNumberFormat="1" applyFont="1" applyBorder="1" applyAlignment="1">
      <alignment horizontal="right" vertical="center"/>
    </xf>
    <xf numFmtId="1" fontId="13" fillId="0" borderId="33" xfId="1" applyNumberFormat="1" applyFont="1" applyBorder="1" applyAlignment="1">
      <alignment horizontal="right" vertical="center"/>
    </xf>
    <xf numFmtId="164" fontId="13" fillId="6" borderId="13" xfId="1" applyNumberFormat="1" applyFont="1" applyFill="1" applyBorder="1" applyAlignment="1">
      <alignment horizontal="center" vertical="center" wrapText="1"/>
    </xf>
    <xf numFmtId="164" fontId="19" fillId="0" borderId="28" xfId="1" applyNumberFormat="1" applyFont="1" applyBorder="1" applyAlignment="1">
      <alignment horizontal="left" vertical="center" wrapText="1"/>
    </xf>
    <xf numFmtId="164" fontId="19" fillId="0" borderId="29" xfId="1" applyNumberFormat="1" applyFont="1" applyBorder="1" applyAlignment="1">
      <alignment horizontal="center" vertical="center"/>
    </xf>
    <xf numFmtId="164" fontId="13" fillId="0" borderId="28" xfId="1" applyNumberFormat="1" applyFont="1" applyBorder="1" applyAlignment="1">
      <alignment horizontal="right" vertical="center"/>
    </xf>
    <xf numFmtId="164" fontId="11" fillId="0" borderId="18" xfId="1" applyNumberFormat="1" applyFont="1" applyBorder="1"/>
    <xf numFmtId="164" fontId="11" fillId="0" borderId="19" xfId="1" applyNumberFormat="1" applyFont="1" applyBorder="1"/>
    <xf numFmtId="164" fontId="19" fillId="0" borderId="47" xfId="1" applyNumberFormat="1" applyFont="1" applyBorder="1" applyAlignment="1">
      <alignment horizontal="left" vertical="center" wrapText="1"/>
    </xf>
    <xf numFmtId="164" fontId="11" fillId="0" borderId="44" xfId="1" applyNumberFormat="1" applyFont="1" applyBorder="1"/>
    <xf numFmtId="164" fontId="11" fillId="0" borderId="45" xfId="1" applyNumberFormat="1" applyFont="1" applyBorder="1"/>
    <xf numFmtId="164" fontId="13" fillId="3" borderId="17" xfId="1" applyNumberFormat="1" applyFont="1" applyFill="1" applyBorder="1" applyAlignment="1">
      <alignment horizontal="center" vertical="center" wrapText="1"/>
    </xf>
    <xf numFmtId="164" fontId="13" fillId="3" borderId="18" xfId="1" applyNumberFormat="1" applyFont="1" applyFill="1" applyBorder="1" applyAlignment="1">
      <alignment horizontal="center" vertical="center" wrapText="1"/>
    </xf>
    <xf numFmtId="164" fontId="13" fillId="3" borderId="19" xfId="1" applyNumberFormat="1" applyFont="1" applyFill="1" applyBorder="1" applyAlignment="1">
      <alignment horizontal="center" vertical="center" wrapText="1"/>
    </xf>
    <xf numFmtId="41" fontId="11" fillId="0" borderId="14" xfId="3" applyFont="1" applyBorder="1" applyAlignment="1">
      <alignment horizontal="right" vertical="center"/>
    </xf>
    <xf numFmtId="41" fontId="27" fillId="0" borderId="15" xfId="3" applyFont="1" applyBorder="1" applyAlignment="1">
      <alignment horizontal="center" vertical="center"/>
    </xf>
    <xf numFmtId="41" fontId="11" fillId="0" borderId="16" xfId="3" applyFont="1" applyBorder="1" applyAlignment="1">
      <alignment horizontal="center" vertical="center"/>
    </xf>
    <xf numFmtId="41" fontId="11" fillId="0" borderId="33" xfId="3" applyFont="1" applyBorder="1" applyAlignment="1">
      <alignment horizontal="right" vertical="center" wrapText="1"/>
    </xf>
    <xf numFmtId="41" fontId="27" fillId="0" borderId="5" xfId="3" applyFont="1" applyBorder="1" applyAlignment="1">
      <alignment horizontal="center" vertical="center" wrapText="1"/>
    </xf>
    <xf numFmtId="41" fontId="11" fillId="0" borderId="39" xfId="3" applyFont="1" applyBorder="1" applyAlignment="1">
      <alignment horizontal="center" vertical="center" wrapText="1"/>
    </xf>
    <xf numFmtId="164" fontId="19" fillId="0" borderId="45" xfId="1" applyNumberFormat="1" applyFont="1" applyBorder="1" applyAlignment="1">
      <alignment horizontal="center" vertical="center"/>
    </xf>
    <xf numFmtId="1" fontId="13" fillId="0" borderId="28" xfId="1" applyNumberFormat="1" applyFont="1" applyBorder="1" applyAlignment="1">
      <alignment horizontal="right" vertical="center"/>
    </xf>
    <xf numFmtId="1" fontId="13" fillId="0" borderId="47" xfId="1" applyNumberFormat="1" applyFont="1" applyBorder="1" applyAlignment="1">
      <alignment horizontal="right" vertical="center"/>
    </xf>
    <xf numFmtId="0" fontId="12" fillId="4" borderId="2" xfId="0" applyFont="1" applyFill="1" applyBorder="1" applyAlignment="1">
      <alignment horizontal="left" vertical="center" wrapText="1"/>
    </xf>
    <xf numFmtId="164" fontId="16" fillId="3" borderId="2" xfId="1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 vertical="center" wrapText="1"/>
    </xf>
    <xf numFmtId="164" fontId="16" fillId="3" borderId="9" xfId="1" applyNumberFormat="1" applyFont="1" applyFill="1" applyBorder="1" applyAlignment="1">
      <alignment horizontal="center" vertical="center"/>
    </xf>
    <xf numFmtId="1" fontId="13" fillId="0" borderId="17" xfId="1" applyNumberFormat="1" applyFont="1" applyBorder="1" applyAlignment="1">
      <alignment horizontal="right" vertical="center"/>
    </xf>
    <xf numFmtId="164" fontId="25" fillId="0" borderId="42" xfId="1" applyNumberFormat="1" applyFont="1" applyBorder="1" applyAlignment="1">
      <alignment horizontal="left" vertical="center"/>
    </xf>
    <xf numFmtId="164" fontId="25" fillId="0" borderId="12" xfId="1" applyNumberFormat="1" applyFont="1" applyBorder="1" applyAlignment="1">
      <alignment horizontal="left" vertical="center"/>
    </xf>
    <xf numFmtId="164" fontId="25" fillId="0" borderId="34" xfId="1" applyNumberFormat="1" applyFont="1" applyBorder="1" applyAlignment="1">
      <alignment horizontal="left" vertical="center"/>
    </xf>
    <xf numFmtId="164" fontId="15" fillId="0" borderId="42" xfId="1" applyNumberFormat="1" applyFont="1" applyBorder="1" applyAlignment="1">
      <alignment horizontal="center" vertical="center"/>
    </xf>
    <xf numFmtId="164" fontId="15" fillId="0" borderId="7" xfId="1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164" fontId="17" fillId="5" borderId="41" xfId="1" applyNumberFormat="1" applyFont="1" applyFill="1" applyBorder="1" applyAlignment="1">
      <alignment horizontal="center" vertical="center"/>
    </xf>
    <xf numFmtId="164" fontId="17" fillId="5" borderId="40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4" fontId="30" fillId="0" borderId="0" xfId="1" applyNumberFormat="1" applyFont="1" applyBorder="1" applyAlignment="1">
      <alignment horizontal="center" vertical="center" wrapText="1"/>
    </xf>
    <xf numFmtId="164" fontId="25" fillId="0" borderId="14" xfId="1" applyNumberFormat="1" applyFont="1" applyBorder="1" applyAlignment="1">
      <alignment horizontal="left" vertical="center"/>
    </xf>
    <xf numFmtId="164" fontId="25" fillId="0" borderId="15" xfId="1" applyNumberFormat="1" applyFont="1" applyBorder="1" applyAlignment="1">
      <alignment horizontal="left" vertical="center"/>
    </xf>
    <xf numFmtId="164" fontId="17" fillId="3" borderId="15" xfId="1" applyNumberFormat="1" applyFont="1" applyFill="1" applyBorder="1" applyAlignment="1">
      <alignment horizontal="center" vertical="center"/>
    </xf>
    <xf numFmtId="164" fontId="25" fillId="0" borderId="17" xfId="1" applyNumberFormat="1" applyFont="1" applyBorder="1" applyAlignment="1">
      <alignment horizontal="left" vertical="center"/>
    </xf>
    <xf numFmtId="164" fontId="25" fillId="0" borderId="18" xfId="1" applyNumberFormat="1" applyFont="1" applyBorder="1" applyAlignment="1">
      <alignment horizontal="left" vertical="center"/>
    </xf>
    <xf numFmtId="164" fontId="17" fillId="3" borderId="18" xfId="1" applyNumberFormat="1" applyFont="1" applyFill="1" applyBorder="1" applyAlignment="1">
      <alignment horizontal="center" vertical="center"/>
    </xf>
    <xf numFmtId="164" fontId="25" fillId="0" borderId="43" xfId="1" applyNumberFormat="1" applyFont="1" applyBorder="1" applyAlignment="1">
      <alignment horizontal="left" vertical="center"/>
    </xf>
    <xf numFmtId="164" fontId="25" fillId="0" borderId="31" xfId="1" applyNumberFormat="1" applyFont="1" applyBorder="1" applyAlignment="1">
      <alignment horizontal="left" vertical="center"/>
    </xf>
    <xf numFmtId="164" fontId="25" fillId="0" borderId="32" xfId="1" applyNumberFormat="1" applyFont="1" applyBorder="1" applyAlignment="1">
      <alignment horizontal="left" vertical="center"/>
    </xf>
    <xf numFmtId="164" fontId="17" fillId="3" borderId="43" xfId="1" applyNumberFormat="1" applyFont="1" applyFill="1" applyBorder="1" applyAlignment="1">
      <alignment horizontal="center" vertical="center"/>
    </xf>
    <xf numFmtId="164" fontId="17" fillId="3" borderId="38" xfId="1" applyNumberFormat="1" applyFont="1" applyFill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164" fontId="13" fillId="0" borderId="15" xfId="1" applyNumberFormat="1" applyFont="1" applyBorder="1" applyAlignment="1">
      <alignment horizontal="right" vertical="center"/>
    </xf>
    <xf numFmtId="164" fontId="13" fillId="0" borderId="18" xfId="1" applyNumberFormat="1" applyFont="1" applyBorder="1" applyAlignment="1">
      <alignment horizontal="right" vertical="center"/>
    </xf>
    <xf numFmtId="164" fontId="32" fillId="0" borderId="16" xfId="1" applyNumberFormat="1" applyFont="1" applyBorder="1" applyAlignment="1">
      <alignment horizontal="right" vertical="center"/>
    </xf>
    <xf numFmtId="164" fontId="32" fillId="0" borderId="19" xfId="1" applyNumberFormat="1" applyFont="1" applyBorder="1" applyAlignment="1">
      <alignment horizontal="right" vertical="center"/>
    </xf>
    <xf numFmtId="164" fontId="13" fillId="3" borderId="14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64" fontId="13" fillId="3" borderId="17" xfId="1" applyNumberFormat="1" applyFont="1" applyFill="1" applyBorder="1" applyAlignment="1">
      <alignment horizontal="center" vertical="center" wrapText="1"/>
    </xf>
    <xf numFmtId="164" fontId="13" fillId="3" borderId="18" xfId="1" applyNumberFormat="1" applyFont="1" applyFill="1" applyBorder="1" applyAlignment="1">
      <alignment horizontal="center" vertical="center" wrapText="1"/>
    </xf>
    <xf numFmtId="164" fontId="13" fillId="3" borderId="16" xfId="1" applyNumberFormat="1" applyFont="1" applyFill="1" applyBorder="1" applyAlignment="1">
      <alignment horizontal="center" vertical="center" wrapText="1"/>
    </xf>
    <xf numFmtId="164" fontId="13" fillId="3" borderId="19" xfId="1" applyNumberFormat="1" applyFont="1" applyFill="1" applyBorder="1" applyAlignment="1">
      <alignment horizontal="center" vertical="center" wrapText="1"/>
    </xf>
    <xf numFmtId="164" fontId="13" fillId="0" borderId="14" xfId="1" applyNumberFormat="1" applyFont="1" applyFill="1" applyBorder="1" applyAlignment="1">
      <alignment horizontal="center" vertical="center" wrapText="1"/>
    </xf>
    <xf numFmtId="164" fontId="13" fillId="0" borderId="15" xfId="1" applyNumberFormat="1" applyFont="1" applyFill="1" applyBorder="1" applyAlignment="1">
      <alignment horizontal="center" vertical="center" wrapText="1"/>
    </xf>
    <xf numFmtId="164" fontId="13" fillId="0" borderId="16" xfId="1" applyNumberFormat="1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0" fontId="20" fillId="2" borderId="26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164" fontId="13" fillId="0" borderId="46" xfId="1" applyNumberFormat="1" applyFont="1" applyBorder="1" applyAlignment="1">
      <alignment horizontal="center" vertical="center"/>
    </xf>
    <xf numFmtId="164" fontId="13" fillId="0" borderId="22" xfId="1" applyNumberFormat="1" applyFont="1" applyBorder="1" applyAlignment="1">
      <alignment horizontal="center" vertical="center"/>
    </xf>
    <xf numFmtId="164" fontId="32" fillId="0" borderId="26" xfId="1" applyNumberFormat="1" applyFont="1" applyBorder="1" applyAlignment="1">
      <alignment horizontal="center" vertical="center"/>
    </xf>
    <xf numFmtId="164" fontId="32" fillId="0" borderId="23" xfId="1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164" fontId="13" fillId="0" borderId="13" xfId="1" applyNumberFormat="1" applyFont="1" applyBorder="1" applyAlignment="1">
      <alignment horizontal="right" vertical="center"/>
    </xf>
    <xf numFmtId="164" fontId="32" fillId="0" borderId="29" xfId="1" applyNumberFormat="1" applyFont="1" applyBorder="1" applyAlignment="1">
      <alignment horizontal="right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164" fontId="13" fillId="0" borderId="20" xfId="1" applyNumberFormat="1" applyFont="1" applyBorder="1" applyAlignment="1">
      <alignment horizontal="center" vertical="center"/>
    </xf>
    <xf numFmtId="164" fontId="32" fillId="0" borderId="21" xfId="1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164" fontId="13" fillId="0" borderId="20" xfId="1" applyNumberFormat="1" applyFont="1" applyFill="1" applyBorder="1" applyAlignment="1">
      <alignment horizontal="center" vertical="center"/>
    </xf>
    <xf numFmtId="164" fontId="13" fillId="0" borderId="46" xfId="1" applyNumberFormat="1" applyFont="1" applyFill="1" applyBorder="1" applyAlignment="1">
      <alignment horizontal="center" vertical="center"/>
    </xf>
    <xf numFmtId="164" fontId="13" fillId="0" borderId="22" xfId="1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6" fillId="0" borderId="4" xfId="2" applyFont="1" applyBorder="1" applyAlignment="1" applyProtection="1">
      <alignment horizontal="left" vertical="center"/>
    </xf>
    <xf numFmtId="0" fontId="36" fillId="0" borderId="9" xfId="2" applyFont="1" applyBorder="1" applyAlignment="1" applyProtection="1">
      <alignment horizontal="left" vertical="center"/>
    </xf>
    <xf numFmtId="0" fontId="36" fillId="0" borderId="3" xfId="2" applyFont="1" applyBorder="1" applyAlignment="1" applyProtection="1">
      <alignment horizontal="left" vertical="center"/>
    </xf>
    <xf numFmtId="165" fontId="23" fillId="0" borderId="35" xfId="1" applyNumberFormat="1" applyFont="1" applyBorder="1" applyAlignment="1">
      <alignment horizontal="right" vertical="center"/>
    </xf>
    <xf numFmtId="165" fontId="23" fillId="0" borderId="36" xfId="1" applyNumberFormat="1" applyFont="1" applyBorder="1" applyAlignment="1">
      <alignment horizontal="right" vertical="center"/>
    </xf>
    <xf numFmtId="165" fontId="23" fillId="0" borderId="37" xfId="1" applyNumberFormat="1" applyFont="1" applyBorder="1" applyAlignment="1">
      <alignment horizontal="right" vertical="center"/>
    </xf>
    <xf numFmtId="0" fontId="13" fillId="6" borderId="24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164" fontId="13" fillId="0" borderId="14" xfId="1" applyNumberFormat="1" applyFont="1" applyBorder="1" applyAlignment="1">
      <alignment horizontal="center" vertical="center"/>
    </xf>
    <xf numFmtId="164" fontId="13" fillId="0" borderId="15" xfId="1" applyNumberFormat="1" applyFont="1" applyBorder="1" applyAlignment="1">
      <alignment horizontal="center" vertical="center"/>
    </xf>
    <xf numFmtId="164" fontId="13" fillId="0" borderId="16" xfId="1" applyNumberFormat="1" applyFont="1" applyBorder="1" applyAlignment="1">
      <alignment horizontal="center" vertical="center"/>
    </xf>
    <xf numFmtId="164" fontId="13" fillId="3" borderId="0" xfId="1" applyNumberFormat="1" applyFont="1" applyFill="1" applyBorder="1" applyAlignment="1">
      <alignment horizontal="center" vertical="center" wrapText="1"/>
    </xf>
    <xf numFmtId="164" fontId="13" fillId="6" borderId="14" xfId="1" applyNumberFormat="1" applyFont="1" applyFill="1" applyBorder="1" applyAlignment="1">
      <alignment horizontal="center" vertical="center" wrapText="1"/>
    </xf>
    <xf numFmtId="164" fontId="13" fillId="6" borderId="15" xfId="1" applyNumberFormat="1" applyFont="1" applyFill="1" applyBorder="1" applyAlignment="1">
      <alignment horizontal="center" vertical="center" wrapText="1"/>
    </xf>
    <xf numFmtId="164" fontId="13" fillId="6" borderId="16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Border="1" applyAlignment="1">
      <alignment horizontal="center" vertical="center"/>
    </xf>
    <xf numFmtId="0" fontId="33" fillId="7" borderId="8" xfId="0" applyFont="1" applyFill="1" applyBorder="1" applyAlignment="1">
      <alignment horizontal="left" vertical="center"/>
    </xf>
    <xf numFmtId="0" fontId="33" fillId="7" borderId="2" xfId="0" applyFont="1" applyFill="1" applyBorder="1" applyAlignment="1">
      <alignment horizontal="left" vertical="center"/>
    </xf>
    <xf numFmtId="0" fontId="33" fillId="7" borderId="1" xfId="0" applyFont="1" applyFill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164" fontId="21" fillId="0" borderId="30" xfId="1" applyNumberFormat="1" applyFont="1" applyBorder="1" applyAlignment="1">
      <alignment horizontal="center" vertical="center"/>
    </xf>
    <xf numFmtId="164" fontId="21" fillId="0" borderId="31" xfId="1" applyNumberFormat="1" applyFont="1" applyBorder="1" applyAlignment="1">
      <alignment horizontal="center" vertical="center"/>
    </xf>
    <xf numFmtId="164" fontId="21" fillId="0" borderId="32" xfId="1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11" xfId="0" applyFont="1" applyBorder="1" applyAlignment="1">
      <alignment horizontal="left" vertical="center"/>
    </xf>
    <xf numFmtId="165" fontId="23" fillId="0" borderId="6" xfId="1" applyNumberFormat="1" applyFont="1" applyBorder="1" applyAlignment="1">
      <alignment horizontal="right" vertical="center"/>
    </xf>
    <xf numFmtId="165" fontId="23" fillId="0" borderId="12" xfId="1" applyNumberFormat="1" applyFont="1" applyBorder="1" applyAlignment="1">
      <alignment horizontal="right" vertical="center"/>
    </xf>
    <xf numFmtId="165" fontId="23" fillId="0" borderId="34" xfId="1" applyNumberFormat="1" applyFont="1" applyBorder="1" applyAlignment="1">
      <alignment horizontal="right" vertical="center"/>
    </xf>
  </cellXfs>
  <cellStyles count="4">
    <cellStyle name="Lien hypertexte" xfId="2" builtinId="8"/>
    <cellStyle name="Milliers" xfId="1" builtinId="3"/>
    <cellStyle name="Milliers [0]" xfId="3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2E21-0574-478D-BA8A-7074B8EE7BAE}">
  <sheetPr>
    <pageSetUpPr fitToPage="1"/>
  </sheetPr>
  <dimension ref="A1:L62"/>
  <sheetViews>
    <sheetView topLeftCell="A29" zoomScale="70" zoomScaleNormal="70" workbookViewId="0">
      <selection activeCell="E61" sqref="E61:L62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58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46031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73</v>
      </c>
      <c r="G14" s="36" t="s">
        <v>74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359</v>
      </c>
      <c r="G15" s="20">
        <v>414</v>
      </c>
      <c r="H15" s="13"/>
      <c r="I15" s="15">
        <f t="shared" ref="I15:I46" si="0">G15-F15</f>
        <v>55</v>
      </c>
      <c r="J15" s="131">
        <f>I15*2+I16</f>
        <v>3763</v>
      </c>
      <c r="K15" s="129">
        <f>I17*2+I18</f>
        <v>4956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61329</v>
      </c>
      <c r="G16" s="38">
        <v>64982</v>
      </c>
      <c r="H16" s="13"/>
      <c r="I16" s="39">
        <f t="shared" si="0"/>
        <v>3653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160</v>
      </c>
      <c r="G17" s="38">
        <v>210</v>
      </c>
      <c r="H17" s="13"/>
      <c r="I17" s="40">
        <f>G17-F17</f>
        <v>50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65071</v>
      </c>
      <c r="G18" s="22">
        <v>69927</v>
      </c>
      <c r="H18" s="13"/>
      <c r="I18" s="17">
        <f t="shared" si="0"/>
        <v>4856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3</v>
      </c>
      <c r="G19" s="20">
        <v>3</v>
      </c>
      <c r="H19" s="13"/>
      <c r="I19" s="15">
        <f t="shared" si="0"/>
        <v>0</v>
      </c>
      <c r="J19" s="131">
        <f>I19*2+I20</f>
        <v>383</v>
      </c>
      <c r="K19" s="129">
        <f>I21*2+I22</f>
        <v>2052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2873</v>
      </c>
      <c r="G20" s="38">
        <v>3256</v>
      </c>
      <c r="H20" s="13"/>
      <c r="I20" s="39">
        <f t="shared" si="0"/>
        <v>383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10</v>
      </c>
      <c r="G21" s="38">
        <v>10</v>
      </c>
      <c r="H21" s="13"/>
      <c r="I21" s="40">
        <f>G21-F21</f>
        <v>0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5043</v>
      </c>
      <c r="G22" s="22">
        <v>7095</v>
      </c>
      <c r="H22" s="13"/>
      <c r="I22" s="17">
        <f t="shared" ref="I22:I24" si="1">G22-F22</f>
        <v>2052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7</v>
      </c>
      <c r="G23" s="20">
        <v>73</v>
      </c>
      <c r="H23" s="13"/>
      <c r="I23" s="15">
        <f t="shared" si="1"/>
        <v>66</v>
      </c>
      <c r="J23" s="131">
        <f>I23*2+I24</f>
        <v>1492</v>
      </c>
      <c r="K23" s="129">
        <f>I25*2+I26</f>
        <v>2675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3065</v>
      </c>
      <c r="G24" s="38">
        <v>4425</v>
      </c>
      <c r="H24" s="13"/>
      <c r="I24" s="39">
        <f t="shared" si="1"/>
        <v>1360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8</v>
      </c>
      <c r="G25" s="38">
        <v>10</v>
      </c>
      <c r="H25" s="13"/>
      <c r="I25" s="40">
        <f>G25-F25</f>
        <v>2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3758</v>
      </c>
      <c r="G26" s="22">
        <v>6429</v>
      </c>
      <c r="H26" s="13"/>
      <c r="I26" s="17">
        <f t="shared" ref="I26:I28" si="2">G26-F26</f>
        <v>2671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2035</v>
      </c>
      <c r="K27" s="129">
        <f>I29*2+I30</f>
        <v>2208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4375</v>
      </c>
      <c r="G28" s="38">
        <v>6410</v>
      </c>
      <c r="H28" s="13"/>
      <c r="I28" s="39">
        <f t="shared" si="2"/>
        <v>2035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5722</v>
      </c>
      <c r="G30" s="22">
        <v>7930</v>
      </c>
      <c r="H30" s="13"/>
      <c r="I30" s="17">
        <f t="shared" ref="I30" si="3">G30-F30</f>
        <v>2208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10736</v>
      </c>
      <c r="G31" s="20">
        <v>11301</v>
      </c>
      <c r="H31" s="13"/>
      <c r="I31" s="15">
        <f t="shared" si="0"/>
        <v>565</v>
      </c>
      <c r="J31" s="128">
        <f>I31</f>
        <v>565</v>
      </c>
      <c r="K31" s="129">
        <f>I32</f>
        <v>636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14329</v>
      </c>
      <c r="G32" s="38">
        <v>14965</v>
      </c>
      <c r="H32" s="13"/>
      <c r="I32" s="40">
        <f t="shared" si="0"/>
        <v>636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6287</v>
      </c>
      <c r="G33" s="20">
        <v>6548</v>
      </c>
      <c r="H33" s="13"/>
      <c r="I33" s="15">
        <f t="shared" si="0"/>
        <v>261</v>
      </c>
      <c r="J33" s="128">
        <f>I33</f>
        <v>261</v>
      </c>
      <c r="K33" s="129">
        <f>I34</f>
        <v>545</v>
      </c>
      <c r="L33" s="16"/>
    </row>
    <row r="34" spans="1:12" s="2" customFormat="1" ht="36" customHeight="1" thickBot="1" x14ac:dyDescent="0.3">
      <c r="A34" s="114"/>
      <c r="B34" s="110"/>
      <c r="C34" s="117"/>
      <c r="D34" s="18"/>
      <c r="E34" s="21" t="s">
        <v>52</v>
      </c>
      <c r="F34" s="22">
        <v>21325</v>
      </c>
      <c r="G34" s="22">
        <v>21870</v>
      </c>
      <c r="H34" s="13"/>
      <c r="I34" s="40">
        <f t="shared" si="0"/>
        <v>545</v>
      </c>
      <c r="J34" s="119"/>
      <c r="K34" s="121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18"/>
      <c r="E35" s="47" t="s">
        <v>29</v>
      </c>
      <c r="F35" s="59">
        <v>1424</v>
      </c>
      <c r="G35" s="59">
        <v>1486</v>
      </c>
      <c r="H35" s="13"/>
      <c r="I35" s="15">
        <f t="shared" si="0"/>
        <v>62</v>
      </c>
      <c r="J35" s="128">
        <f>I35</f>
        <v>62</v>
      </c>
      <c r="K35" s="129">
        <f>I36</f>
        <v>367</v>
      </c>
      <c r="L35" s="16"/>
    </row>
    <row r="36" spans="1:12" s="2" customFormat="1" ht="36" customHeight="1" thickBot="1" x14ac:dyDescent="0.3">
      <c r="A36" s="114"/>
      <c r="B36" s="110"/>
      <c r="C36" s="117"/>
      <c r="D36" s="18"/>
      <c r="E36" s="37" t="s">
        <v>52</v>
      </c>
      <c r="F36" s="38">
        <v>3444</v>
      </c>
      <c r="G36" s="38">
        <v>3811</v>
      </c>
      <c r="H36" s="13"/>
      <c r="I36" s="40">
        <f t="shared" si="0"/>
        <v>367</v>
      </c>
      <c r="J36" s="119"/>
      <c r="K36" s="121"/>
      <c r="L36" s="16"/>
    </row>
    <row r="37" spans="1:12" s="2" customFormat="1" ht="36" customHeight="1" x14ac:dyDescent="0.25">
      <c r="A37" s="122" t="s">
        <v>71</v>
      </c>
      <c r="B37" s="92" t="s">
        <v>25</v>
      </c>
      <c r="C37" s="127" t="s">
        <v>75</v>
      </c>
      <c r="D37" s="18"/>
      <c r="E37" s="47" t="s">
        <v>29</v>
      </c>
      <c r="F37" s="59">
        <v>297</v>
      </c>
      <c r="G37" s="59">
        <v>329</v>
      </c>
      <c r="H37" s="13"/>
      <c r="I37" s="15">
        <f t="shared" si="0"/>
        <v>32</v>
      </c>
      <c r="J37" s="128">
        <f>I37</f>
        <v>32</v>
      </c>
      <c r="K37" s="129">
        <f>I38</f>
        <v>84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131</v>
      </c>
      <c r="G38" s="38">
        <v>215</v>
      </c>
      <c r="H38" s="13"/>
      <c r="I38" s="40">
        <f t="shared" si="0"/>
        <v>84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2283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66524</v>
      </c>
      <c r="G40" s="43">
        <v>68807</v>
      </c>
      <c r="H40" s="13"/>
      <c r="I40" s="44">
        <f t="shared" si="0"/>
        <v>2283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245</v>
      </c>
      <c r="G41" s="20">
        <v>247</v>
      </c>
      <c r="H41" s="13"/>
      <c r="I41" s="15">
        <f t="shared" si="0"/>
        <v>2</v>
      </c>
      <c r="J41" s="96">
        <f>I41*2+I42</f>
        <v>1324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40238</v>
      </c>
      <c r="G42" s="22">
        <v>41558</v>
      </c>
      <c r="H42" s="13"/>
      <c r="I42" s="17">
        <f t="shared" si="0"/>
        <v>1320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149</v>
      </c>
      <c r="G43" s="20">
        <v>162</v>
      </c>
      <c r="H43" s="13"/>
      <c r="I43" s="15">
        <f t="shared" si="0"/>
        <v>13</v>
      </c>
      <c r="J43" s="96">
        <f>I43*2+I44</f>
        <v>493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18420</v>
      </c>
      <c r="G44" s="22">
        <v>18887</v>
      </c>
      <c r="H44" s="13"/>
      <c r="I44" s="17">
        <f t="shared" si="0"/>
        <v>467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2819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76115</v>
      </c>
      <c r="G46" s="22">
        <v>78934</v>
      </c>
      <c r="H46" s="13"/>
      <c r="I46" s="17">
        <f t="shared" si="0"/>
        <v>2819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15512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13523</v>
      </c>
      <c r="G51" s="46">
        <v>8000</v>
      </c>
      <c r="I51" s="56">
        <f>+F51-G51</f>
        <v>5523</v>
      </c>
      <c r="J51" s="57">
        <v>50</v>
      </c>
      <c r="K51" s="58">
        <f>I51*J51</f>
        <v>276150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276150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1196150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215307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1411457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76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E48:F49"/>
    <mergeCell ref="G48:G49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I48:K48"/>
    <mergeCell ref="A41:A42"/>
    <mergeCell ref="B41:B42"/>
    <mergeCell ref="C41:C42"/>
    <mergeCell ref="J41:J42"/>
    <mergeCell ref="K41:K42"/>
    <mergeCell ref="A43:A44"/>
    <mergeCell ref="B43:B44"/>
    <mergeCell ref="C43:C44"/>
    <mergeCell ref="J43:J44"/>
    <mergeCell ref="K43:K44"/>
    <mergeCell ref="A45:A46"/>
    <mergeCell ref="B45:B46"/>
    <mergeCell ref="C45:C46"/>
    <mergeCell ref="J45:J46"/>
    <mergeCell ref="K45:K46"/>
    <mergeCell ref="A37:A38"/>
    <mergeCell ref="B37:B38"/>
    <mergeCell ref="C37:C38"/>
    <mergeCell ref="J37:J38"/>
    <mergeCell ref="K37:K38"/>
    <mergeCell ref="A39:A40"/>
    <mergeCell ref="B39:B40"/>
    <mergeCell ref="C39:C40"/>
    <mergeCell ref="J39:J40"/>
    <mergeCell ref="K39:K40"/>
    <mergeCell ref="A33:A34"/>
    <mergeCell ref="B33:B34"/>
    <mergeCell ref="C33:C34"/>
    <mergeCell ref="J33:J34"/>
    <mergeCell ref="K33:K34"/>
    <mergeCell ref="A35:A36"/>
    <mergeCell ref="B35:B36"/>
    <mergeCell ref="C35:C36"/>
    <mergeCell ref="J35:J36"/>
    <mergeCell ref="K35:K36"/>
    <mergeCell ref="A27:A30"/>
    <mergeCell ref="B27:B30"/>
    <mergeCell ref="C27:C30"/>
    <mergeCell ref="J27:J30"/>
    <mergeCell ref="K27:K30"/>
    <mergeCell ref="A31:A32"/>
    <mergeCell ref="B31:B32"/>
    <mergeCell ref="C31:C32"/>
    <mergeCell ref="J31:J32"/>
    <mergeCell ref="K31:K32"/>
    <mergeCell ref="A19:A22"/>
    <mergeCell ref="B19:B22"/>
    <mergeCell ref="C19:C22"/>
    <mergeCell ref="J19:J22"/>
    <mergeCell ref="K19:K22"/>
    <mergeCell ref="A23:A26"/>
    <mergeCell ref="B23:B26"/>
    <mergeCell ref="C23:C26"/>
    <mergeCell ref="J23:J26"/>
    <mergeCell ref="K23:K26"/>
    <mergeCell ref="L13:L14"/>
    <mergeCell ref="A15:A18"/>
    <mergeCell ref="B15:B18"/>
    <mergeCell ref="C15:C18"/>
    <mergeCell ref="J15:J18"/>
    <mergeCell ref="K15:K18"/>
    <mergeCell ref="A10:C10"/>
    <mergeCell ref="I10:K10"/>
    <mergeCell ref="A13:A14"/>
    <mergeCell ref="B13:B14"/>
    <mergeCell ref="C13:C14"/>
    <mergeCell ref="E13:G13"/>
    <mergeCell ref="H13:H14"/>
    <mergeCell ref="I13:K13"/>
    <mergeCell ref="F5:L5"/>
    <mergeCell ref="A7:C7"/>
    <mergeCell ref="A8:C8"/>
    <mergeCell ref="I8:K8"/>
    <mergeCell ref="A9:C9"/>
    <mergeCell ref="I9:K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B69E-EE33-4812-9018-D47858198D01}">
  <sheetPr>
    <pageSetUpPr fitToPage="1"/>
  </sheetPr>
  <dimension ref="A1:L62"/>
  <sheetViews>
    <sheetView topLeftCell="A43" zoomScale="70" zoomScaleNormal="70" workbookViewId="0">
      <selection activeCell="R41" sqref="R41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59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46072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74</v>
      </c>
      <c r="G14" s="36" t="s">
        <v>77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414</v>
      </c>
      <c r="G15" s="20">
        <v>460</v>
      </c>
      <c r="H15" s="13"/>
      <c r="I15" s="15">
        <f t="shared" ref="I15:I46" si="0">G15-F15</f>
        <v>46</v>
      </c>
      <c r="J15" s="131">
        <f>I15*2+I16</f>
        <v>6210</v>
      </c>
      <c r="K15" s="129">
        <f>I17*2+I18</f>
        <v>6273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64982</v>
      </c>
      <c r="G16" s="38">
        <v>71100</v>
      </c>
      <c r="H16" s="13"/>
      <c r="I16" s="39">
        <f t="shared" si="0"/>
        <v>6118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210</v>
      </c>
      <c r="G17" s="38">
        <v>257</v>
      </c>
      <c r="H17" s="13"/>
      <c r="I17" s="40">
        <f>G17-F17</f>
        <v>47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69927</v>
      </c>
      <c r="G18" s="22">
        <v>76106</v>
      </c>
      <c r="H18" s="13"/>
      <c r="I18" s="17">
        <f t="shared" si="0"/>
        <v>6179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3</v>
      </c>
      <c r="G19" s="20">
        <v>29</v>
      </c>
      <c r="H19" s="13"/>
      <c r="I19" s="15">
        <f t="shared" si="0"/>
        <v>26</v>
      </c>
      <c r="J19" s="131">
        <f>I19*2+I20</f>
        <v>659</v>
      </c>
      <c r="K19" s="129">
        <f>I21*2+I22</f>
        <v>3399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3256</v>
      </c>
      <c r="G20" s="38">
        <v>3863</v>
      </c>
      <c r="H20" s="13"/>
      <c r="I20" s="39">
        <f t="shared" si="0"/>
        <v>607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10</v>
      </c>
      <c r="G21" s="38">
        <v>105</v>
      </c>
      <c r="H21" s="13"/>
      <c r="I21" s="40">
        <f>G21-F21</f>
        <v>95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7095</v>
      </c>
      <c r="G22" s="22">
        <v>10304</v>
      </c>
      <c r="H22" s="13"/>
      <c r="I22" s="17">
        <f t="shared" ref="I22:I24" si="1">G22-F22</f>
        <v>3209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73</v>
      </c>
      <c r="G23" s="20">
        <v>115</v>
      </c>
      <c r="H23" s="13"/>
      <c r="I23" s="15">
        <f t="shared" si="1"/>
        <v>42</v>
      </c>
      <c r="J23" s="131">
        <f>I23*2+I24</f>
        <v>2125</v>
      </c>
      <c r="K23" s="129">
        <f>I25*2+I26</f>
        <v>2975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4425</v>
      </c>
      <c r="G24" s="38">
        <v>6466</v>
      </c>
      <c r="H24" s="13"/>
      <c r="I24" s="39">
        <f t="shared" si="1"/>
        <v>2041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10</v>
      </c>
      <c r="G25" s="38">
        <v>12</v>
      </c>
      <c r="H25" s="13"/>
      <c r="I25" s="40">
        <f>G25-F25</f>
        <v>2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6429</v>
      </c>
      <c r="G26" s="22">
        <v>9400</v>
      </c>
      <c r="H26" s="13"/>
      <c r="I26" s="17">
        <f t="shared" ref="I26:I28" si="2">G26-F26</f>
        <v>2971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1702</v>
      </c>
      <c r="K27" s="129">
        <f>I29*2+I30</f>
        <v>3684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6410</v>
      </c>
      <c r="G28" s="38">
        <v>8112</v>
      </c>
      <c r="H28" s="13"/>
      <c r="I28" s="39">
        <f t="shared" si="2"/>
        <v>1702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7930</v>
      </c>
      <c r="G30" s="22">
        <v>11614</v>
      </c>
      <c r="H30" s="13"/>
      <c r="I30" s="17">
        <f t="shared" ref="I30" si="3">G30-F30</f>
        <v>3684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11301</v>
      </c>
      <c r="G31" s="20">
        <v>11934</v>
      </c>
      <c r="H31" s="13"/>
      <c r="I31" s="15">
        <f t="shared" si="0"/>
        <v>633</v>
      </c>
      <c r="J31" s="128">
        <f>I31</f>
        <v>633</v>
      </c>
      <c r="K31" s="129">
        <f>I32</f>
        <v>1721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14965</v>
      </c>
      <c r="G32" s="38">
        <v>16686</v>
      </c>
      <c r="H32" s="13"/>
      <c r="I32" s="40">
        <f t="shared" si="0"/>
        <v>1721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6548</v>
      </c>
      <c r="G33" s="20">
        <v>7050</v>
      </c>
      <c r="H33" s="13"/>
      <c r="I33" s="15">
        <f t="shared" si="0"/>
        <v>502</v>
      </c>
      <c r="J33" s="128">
        <f>I33</f>
        <v>502</v>
      </c>
      <c r="K33" s="129">
        <f>I34</f>
        <v>1571</v>
      </c>
      <c r="L33" s="16"/>
    </row>
    <row r="34" spans="1:12" s="2" customFormat="1" ht="36" customHeight="1" thickBot="1" x14ac:dyDescent="0.3">
      <c r="A34" s="114"/>
      <c r="B34" s="110"/>
      <c r="C34" s="117"/>
      <c r="D34" s="18"/>
      <c r="E34" s="21" t="s">
        <v>52</v>
      </c>
      <c r="F34" s="22">
        <v>21870</v>
      </c>
      <c r="G34" s="22">
        <v>23441</v>
      </c>
      <c r="H34" s="13"/>
      <c r="I34" s="40">
        <f t="shared" si="0"/>
        <v>1571</v>
      </c>
      <c r="J34" s="119"/>
      <c r="K34" s="121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18"/>
      <c r="E35" s="47" t="s">
        <v>29</v>
      </c>
      <c r="F35" s="59">
        <v>1486</v>
      </c>
      <c r="G35" s="59">
        <v>2013</v>
      </c>
      <c r="H35" s="13"/>
      <c r="I35" s="15">
        <f t="shared" si="0"/>
        <v>527</v>
      </c>
      <c r="J35" s="128">
        <f>I35</f>
        <v>527</v>
      </c>
      <c r="K35" s="129">
        <f>I36</f>
        <v>377</v>
      </c>
      <c r="L35" s="16"/>
    </row>
    <row r="36" spans="1:12" s="2" customFormat="1" ht="36" customHeight="1" thickBot="1" x14ac:dyDescent="0.3">
      <c r="A36" s="114"/>
      <c r="B36" s="110"/>
      <c r="C36" s="117"/>
      <c r="D36" s="18"/>
      <c r="E36" s="37" t="s">
        <v>52</v>
      </c>
      <c r="F36" s="38">
        <v>3811</v>
      </c>
      <c r="G36" s="38">
        <v>4188</v>
      </c>
      <c r="H36" s="13"/>
      <c r="I36" s="40">
        <f t="shared" si="0"/>
        <v>377</v>
      </c>
      <c r="J36" s="119"/>
      <c r="K36" s="121"/>
      <c r="L36" s="16"/>
    </row>
    <row r="37" spans="1:12" s="2" customFormat="1" ht="36" customHeight="1" x14ac:dyDescent="0.25">
      <c r="A37" s="122" t="s">
        <v>71</v>
      </c>
      <c r="B37" s="92" t="s">
        <v>25</v>
      </c>
      <c r="C37" s="127" t="s">
        <v>75</v>
      </c>
      <c r="D37" s="18"/>
      <c r="E37" s="47" t="s">
        <v>29</v>
      </c>
      <c r="F37" s="59">
        <v>329</v>
      </c>
      <c r="G37" s="59">
        <v>456</v>
      </c>
      <c r="H37" s="13"/>
      <c r="I37" s="15">
        <f t="shared" si="0"/>
        <v>127</v>
      </c>
      <c r="J37" s="128">
        <f>I37</f>
        <v>127</v>
      </c>
      <c r="K37" s="129">
        <f>I38</f>
        <v>103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215</v>
      </c>
      <c r="G38" s="38">
        <v>318</v>
      </c>
      <c r="H38" s="13"/>
      <c r="I38" s="40">
        <f t="shared" si="0"/>
        <v>103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4150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68807</v>
      </c>
      <c r="G40" s="43">
        <v>72957</v>
      </c>
      <c r="H40" s="13"/>
      <c r="I40" s="44">
        <f t="shared" si="0"/>
        <v>4150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247</v>
      </c>
      <c r="G41" s="20">
        <v>273</v>
      </c>
      <c r="H41" s="13"/>
      <c r="I41" s="15">
        <f t="shared" si="0"/>
        <v>26</v>
      </c>
      <c r="J41" s="96">
        <f>I41*2+I42</f>
        <v>2302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41558</v>
      </c>
      <c r="G42" s="22">
        <v>43808</v>
      </c>
      <c r="H42" s="13"/>
      <c r="I42" s="17">
        <f t="shared" si="0"/>
        <v>2250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1425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18887</v>
      </c>
      <c r="G44" s="22">
        <v>20312</v>
      </c>
      <c r="H44" s="13"/>
      <c r="I44" s="17">
        <f t="shared" si="0"/>
        <v>1425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7217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78934</v>
      </c>
      <c r="G46" s="22">
        <v>86151</v>
      </c>
      <c r="H46" s="13"/>
      <c r="I46" s="17">
        <f t="shared" si="0"/>
        <v>7217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27579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20103</v>
      </c>
      <c r="G51" s="46">
        <v>8000</v>
      </c>
      <c r="I51" s="56">
        <f>+F51-G51</f>
        <v>12103</v>
      </c>
      <c r="J51" s="57">
        <v>50</v>
      </c>
      <c r="K51" s="58">
        <f>I51*J51</f>
        <v>605150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605150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1525150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274527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1799677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78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F5:L5"/>
    <mergeCell ref="A7:C7"/>
    <mergeCell ref="A8:C8"/>
    <mergeCell ref="I8:K8"/>
    <mergeCell ref="A9:C9"/>
    <mergeCell ref="I9:K9"/>
    <mergeCell ref="A10:C10"/>
    <mergeCell ref="I10:K10"/>
    <mergeCell ref="A13:A14"/>
    <mergeCell ref="B13:B14"/>
    <mergeCell ref="C13:C14"/>
    <mergeCell ref="E13:G13"/>
    <mergeCell ref="H13:H14"/>
    <mergeCell ref="I13:K13"/>
    <mergeCell ref="L13:L14"/>
    <mergeCell ref="A15:A18"/>
    <mergeCell ref="B15:B18"/>
    <mergeCell ref="C15:C18"/>
    <mergeCell ref="J15:J18"/>
    <mergeCell ref="K15:K18"/>
    <mergeCell ref="A23:A26"/>
    <mergeCell ref="B23:B26"/>
    <mergeCell ref="C23:C26"/>
    <mergeCell ref="J23:J26"/>
    <mergeCell ref="K23:K26"/>
    <mergeCell ref="A19:A22"/>
    <mergeCell ref="B19:B22"/>
    <mergeCell ref="C19:C22"/>
    <mergeCell ref="J19:J22"/>
    <mergeCell ref="K19:K22"/>
    <mergeCell ref="A31:A32"/>
    <mergeCell ref="B31:B32"/>
    <mergeCell ref="C31:C32"/>
    <mergeCell ref="J31:J32"/>
    <mergeCell ref="K31:K32"/>
    <mergeCell ref="A27:A30"/>
    <mergeCell ref="B27:B30"/>
    <mergeCell ref="C27:C30"/>
    <mergeCell ref="J27:J30"/>
    <mergeCell ref="K27:K30"/>
    <mergeCell ref="A35:A36"/>
    <mergeCell ref="B35:B36"/>
    <mergeCell ref="C35:C36"/>
    <mergeCell ref="J35:J36"/>
    <mergeCell ref="K35:K36"/>
    <mergeCell ref="A33:A34"/>
    <mergeCell ref="B33:B34"/>
    <mergeCell ref="C33:C34"/>
    <mergeCell ref="J33:J34"/>
    <mergeCell ref="K33:K34"/>
    <mergeCell ref="A39:A40"/>
    <mergeCell ref="B39:B40"/>
    <mergeCell ref="C39:C40"/>
    <mergeCell ref="J39:J40"/>
    <mergeCell ref="K39:K40"/>
    <mergeCell ref="A37:A38"/>
    <mergeCell ref="B37:B38"/>
    <mergeCell ref="C37:C38"/>
    <mergeCell ref="J37:J38"/>
    <mergeCell ref="K37:K38"/>
    <mergeCell ref="A45:A46"/>
    <mergeCell ref="B45:B46"/>
    <mergeCell ref="C45:C46"/>
    <mergeCell ref="J45:J46"/>
    <mergeCell ref="K45:K46"/>
    <mergeCell ref="A43:A44"/>
    <mergeCell ref="B43:B44"/>
    <mergeCell ref="C43:C44"/>
    <mergeCell ref="J43:J44"/>
    <mergeCell ref="K43:K44"/>
    <mergeCell ref="A41:A42"/>
    <mergeCell ref="B41:B42"/>
    <mergeCell ref="C41:C42"/>
    <mergeCell ref="J41:J42"/>
    <mergeCell ref="K41:K42"/>
    <mergeCell ref="E48:F49"/>
    <mergeCell ref="G48:G49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I48:K48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83EC-CE70-4CE8-A9E5-F7BC747645B8}">
  <sheetPr>
    <pageSetUpPr fitToPage="1"/>
  </sheetPr>
  <dimension ref="A1:L62"/>
  <sheetViews>
    <sheetView topLeftCell="A5" zoomScale="70" zoomScaleNormal="70" workbookViewId="0">
      <selection activeCell="P40" sqref="P40:P41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60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46098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77</v>
      </c>
      <c r="G14" s="36" t="s">
        <v>79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460</v>
      </c>
      <c r="G15" s="20">
        <v>496</v>
      </c>
      <c r="H15" s="13"/>
      <c r="I15" s="15">
        <f t="shared" ref="I15:I46" si="0">G15-F15</f>
        <v>36</v>
      </c>
      <c r="J15" s="131">
        <f>I15*2+I16</f>
        <v>2711</v>
      </c>
      <c r="K15" s="129">
        <f>I17*2+I18</f>
        <v>3339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71100</v>
      </c>
      <c r="G16" s="38">
        <v>73739</v>
      </c>
      <c r="H16" s="13"/>
      <c r="I16" s="39">
        <f t="shared" si="0"/>
        <v>2639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257</v>
      </c>
      <c r="G17" s="38">
        <v>268</v>
      </c>
      <c r="H17" s="13"/>
      <c r="I17" s="40">
        <f>G17-F17</f>
        <v>11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76106</v>
      </c>
      <c r="G18" s="22">
        <v>79423</v>
      </c>
      <c r="H18" s="13"/>
      <c r="I18" s="17">
        <f t="shared" si="0"/>
        <v>3317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29</v>
      </c>
      <c r="G19" s="20">
        <v>31</v>
      </c>
      <c r="H19" s="13"/>
      <c r="I19" s="15">
        <f t="shared" si="0"/>
        <v>2</v>
      </c>
      <c r="J19" s="131">
        <f>I19*2+I20</f>
        <v>553</v>
      </c>
      <c r="K19" s="129">
        <f>I21*2+I22</f>
        <v>2273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3863</v>
      </c>
      <c r="G20" s="38">
        <v>4412</v>
      </c>
      <c r="H20" s="13"/>
      <c r="I20" s="39">
        <f t="shared" si="0"/>
        <v>549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105</v>
      </c>
      <c r="G21" s="38">
        <v>121</v>
      </c>
      <c r="H21" s="13"/>
      <c r="I21" s="40">
        <f>G21-F21</f>
        <v>16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10304</v>
      </c>
      <c r="G22" s="22">
        <v>12545</v>
      </c>
      <c r="H22" s="13"/>
      <c r="I22" s="17">
        <f t="shared" ref="I22:I24" si="1">G22-F22</f>
        <v>2241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115</v>
      </c>
      <c r="G23" s="20">
        <v>115</v>
      </c>
      <c r="H23" s="13"/>
      <c r="I23" s="15">
        <f t="shared" si="1"/>
        <v>0</v>
      </c>
      <c r="J23" s="131">
        <f>I23*2+I24</f>
        <v>1284</v>
      </c>
      <c r="K23" s="129">
        <f>I25*2+I26</f>
        <v>1971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6466</v>
      </c>
      <c r="G24" s="38">
        <v>7750</v>
      </c>
      <c r="H24" s="13"/>
      <c r="I24" s="39">
        <f t="shared" si="1"/>
        <v>1284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12</v>
      </c>
      <c r="G25" s="38">
        <v>17</v>
      </c>
      <c r="H25" s="13"/>
      <c r="I25" s="40">
        <f>G25-F25</f>
        <v>5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9400</v>
      </c>
      <c r="G26" s="22">
        <v>11361</v>
      </c>
      <c r="H26" s="13"/>
      <c r="I26" s="17">
        <f t="shared" ref="I26:I28" si="2">G26-F26</f>
        <v>1961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1106</v>
      </c>
      <c r="K27" s="129">
        <f>I29*2+I30</f>
        <v>1912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8112</v>
      </c>
      <c r="G28" s="38">
        <v>9218</v>
      </c>
      <c r="H28" s="13"/>
      <c r="I28" s="39">
        <f t="shared" si="2"/>
        <v>1106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11614</v>
      </c>
      <c r="G30" s="22">
        <v>13526</v>
      </c>
      <c r="H30" s="13"/>
      <c r="I30" s="17">
        <f t="shared" ref="I30" si="3">G30-F30</f>
        <v>1912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11934</v>
      </c>
      <c r="G31" s="20">
        <v>12324</v>
      </c>
      <c r="H31" s="13"/>
      <c r="I31" s="15">
        <f t="shared" si="0"/>
        <v>390</v>
      </c>
      <c r="J31" s="128">
        <f>I31</f>
        <v>390</v>
      </c>
      <c r="K31" s="129">
        <f>I32</f>
        <v>902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16686</v>
      </c>
      <c r="G32" s="38">
        <v>17588</v>
      </c>
      <c r="H32" s="13"/>
      <c r="I32" s="40">
        <f t="shared" si="0"/>
        <v>902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7050</v>
      </c>
      <c r="G33" s="20">
        <v>7536</v>
      </c>
      <c r="H33" s="13"/>
      <c r="I33" s="15">
        <f t="shared" si="0"/>
        <v>486</v>
      </c>
      <c r="J33" s="128">
        <f>I33</f>
        <v>486</v>
      </c>
      <c r="K33" s="129">
        <f>I34</f>
        <v>883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23441</v>
      </c>
      <c r="G34" s="43">
        <v>24324</v>
      </c>
      <c r="H34" s="13"/>
      <c r="I34" s="60">
        <f t="shared" si="0"/>
        <v>883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2013</v>
      </c>
      <c r="G35" s="20">
        <v>2036</v>
      </c>
      <c r="H35" s="63"/>
      <c r="I35" s="15">
        <f t="shared" si="0"/>
        <v>23</v>
      </c>
      <c r="J35" s="128">
        <f>I35</f>
        <v>23</v>
      </c>
      <c r="K35" s="129">
        <f>I36</f>
        <v>406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4188</v>
      </c>
      <c r="G36" s="22">
        <v>4594</v>
      </c>
      <c r="H36" s="65"/>
      <c r="I36" s="66">
        <f t="shared" si="0"/>
        <v>406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456</v>
      </c>
      <c r="G37" s="59">
        <v>532</v>
      </c>
      <c r="H37" s="13"/>
      <c r="I37" s="61">
        <f t="shared" si="0"/>
        <v>76</v>
      </c>
      <c r="J37" s="118">
        <f>I37</f>
        <v>76</v>
      </c>
      <c r="K37" s="120">
        <f>I38</f>
        <v>323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318</v>
      </c>
      <c r="G38" s="38">
        <v>641</v>
      </c>
      <c r="H38" s="13"/>
      <c r="I38" s="40">
        <f t="shared" si="0"/>
        <v>323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2514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72957</v>
      </c>
      <c r="G40" s="43">
        <v>75471</v>
      </c>
      <c r="H40" s="13"/>
      <c r="I40" s="44">
        <f t="shared" si="0"/>
        <v>2514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273</v>
      </c>
      <c r="G41" s="20">
        <v>307</v>
      </c>
      <c r="H41" s="13"/>
      <c r="I41" s="15">
        <f t="shared" si="0"/>
        <v>34</v>
      </c>
      <c r="J41" s="96">
        <f>I41*2+I42</f>
        <v>2362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43808</v>
      </c>
      <c r="G42" s="22">
        <v>46102</v>
      </c>
      <c r="H42" s="13"/>
      <c r="I42" s="17">
        <f t="shared" si="0"/>
        <v>2294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849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20312</v>
      </c>
      <c r="G44" s="22">
        <v>21161</v>
      </c>
      <c r="H44" s="13"/>
      <c r="I44" s="17">
        <f t="shared" si="0"/>
        <v>849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718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86151</v>
      </c>
      <c r="G46" s="22">
        <v>86869</v>
      </c>
      <c r="H46" s="13"/>
      <c r="I46" s="17">
        <f t="shared" si="0"/>
        <v>718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13072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12009</v>
      </c>
      <c r="G51" s="46">
        <v>8000</v>
      </c>
      <c r="I51" s="56">
        <f>+F51-G51</f>
        <v>4009</v>
      </c>
      <c r="J51" s="57">
        <v>50</v>
      </c>
      <c r="K51" s="58">
        <f>I51*J51</f>
        <v>200450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200450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1120450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201681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1322131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80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F5:L5"/>
    <mergeCell ref="A7:C7"/>
    <mergeCell ref="A8:C8"/>
    <mergeCell ref="I8:K8"/>
    <mergeCell ref="A9:C9"/>
    <mergeCell ref="I9:K9"/>
    <mergeCell ref="A10:C10"/>
    <mergeCell ref="I10:K10"/>
    <mergeCell ref="A13:A14"/>
    <mergeCell ref="B13:B14"/>
    <mergeCell ref="C13:C14"/>
    <mergeCell ref="E13:G13"/>
    <mergeCell ref="H13:H14"/>
    <mergeCell ref="I13:K13"/>
    <mergeCell ref="L13:L14"/>
    <mergeCell ref="A15:A18"/>
    <mergeCell ref="B15:B18"/>
    <mergeCell ref="C15:C18"/>
    <mergeCell ref="J15:J18"/>
    <mergeCell ref="K15:K18"/>
    <mergeCell ref="A23:A26"/>
    <mergeCell ref="B23:B26"/>
    <mergeCell ref="C23:C26"/>
    <mergeCell ref="J23:J26"/>
    <mergeCell ref="K23:K26"/>
    <mergeCell ref="A19:A22"/>
    <mergeCell ref="B19:B22"/>
    <mergeCell ref="C19:C22"/>
    <mergeCell ref="J19:J22"/>
    <mergeCell ref="K19:K22"/>
    <mergeCell ref="A31:A32"/>
    <mergeCell ref="B31:B32"/>
    <mergeCell ref="C31:C32"/>
    <mergeCell ref="J31:J32"/>
    <mergeCell ref="K31:K32"/>
    <mergeCell ref="A27:A30"/>
    <mergeCell ref="B27:B30"/>
    <mergeCell ref="C27:C30"/>
    <mergeCell ref="J27:J30"/>
    <mergeCell ref="K27:K30"/>
    <mergeCell ref="A35:A36"/>
    <mergeCell ref="B35:B36"/>
    <mergeCell ref="C35:C36"/>
    <mergeCell ref="J35:J36"/>
    <mergeCell ref="K35:K36"/>
    <mergeCell ref="A33:A34"/>
    <mergeCell ref="B33:B34"/>
    <mergeCell ref="C33:C34"/>
    <mergeCell ref="J33:J34"/>
    <mergeCell ref="K33:K34"/>
    <mergeCell ref="A39:A40"/>
    <mergeCell ref="B39:B40"/>
    <mergeCell ref="C39:C40"/>
    <mergeCell ref="J39:J40"/>
    <mergeCell ref="K39:K40"/>
    <mergeCell ref="A37:A38"/>
    <mergeCell ref="B37:B38"/>
    <mergeCell ref="C37:C38"/>
    <mergeCell ref="J37:J38"/>
    <mergeCell ref="K37:K38"/>
    <mergeCell ref="A45:A46"/>
    <mergeCell ref="B45:B46"/>
    <mergeCell ref="C45:C46"/>
    <mergeCell ref="J45:J46"/>
    <mergeCell ref="K45:K46"/>
    <mergeCell ref="A43:A44"/>
    <mergeCell ref="B43:B44"/>
    <mergeCell ref="C43:C44"/>
    <mergeCell ref="J43:J44"/>
    <mergeCell ref="K43:K44"/>
    <mergeCell ref="A41:A42"/>
    <mergeCell ref="B41:B42"/>
    <mergeCell ref="C41:C42"/>
    <mergeCell ref="J41:J42"/>
    <mergeCell ref="K41:K42"/>
    <mergeCell ref="E48:F49"/>
    <mergeCell ref="G48:G49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I48:K48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B6BF-22E1-4D57-B8A4-18FCA5B70A0D}">
  <sheetPr>
    <pageSetUpPr fitToPage="1"/>
  </sheetPr>
  <dimension ref="A1:L62"/>
  <sheetViews>
    <sheetView topLeftCell="A13" zoomScale="70" zoomScaleNormal="70" workbookViewId="0">
      <selection activeCell="G14" sqref="G14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61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46129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79</v>
      </c>
      <c r="G14" s="36" t="s">
        <v>82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496</v>
      </c>
      <c r="G15" s="20">
        <v>531</v>
      </c>
      <c r="H15" s="13"/>
      <c r="I15" s="15">
        <f t="shared" ref="I15:I46" si="0">G15-F15</f>
        <v>35</v>
      </c>
      <c r="J15" s="131">
        <f>I15*2+I16</f>
        <v>4731</v>
      </c>
      <c r="K15" s="129">
        <f>I17*2+I18</f>
        <v>6125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73739</v>
      </c>
      <c r="G16" s="38">
        <v>78400</v>
      </c>
      <c r="H16" s="13"/>
      <c r="I16" s="39">
        <f t="shared" si="0"/>
        <v>4661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268</v>
      </c>
      <c r="G17" s="38">
        <v>296</v>
      </c>
      <c r="H17" s="13"/>
      <c r="I17" s="40">
        <f>G17-F17</f>
        <v>28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79423</v>
      </c>
      <c r="G18" s="22">
        <v>85492</v>
      </c>
      <c r="H18" s="13"/>
      <c r="I18" s="17">
        <f t="shared" si="0"/>
        <v>6069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31</v>
      </c>
      <c r="G19" s="20">
        <v>33</v>
      </c>
      <c r="H19" s="13"/>
      <c r="I19" s="15">
        <f t="shared" si="0"/>
        <v>2</v>
      </c>
      <c r="J19" s="131">
        <f>I19*2+I20</f>
        <v>863</v>
      </c>
      <c r="K19" s="129">
        <f>I21*2+I22</f>
        <v>3948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4412</v>
      </c>
      <c r="G20" s="38">
        <v>5271</v>
      </c>
      <c r="H20" s="13"/>
      <c r="I20" s="39">
        <f t="shared" si="0"/>
        <v>859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121</v>
      </c>
      <c r="G21" s="38">
        <v>200</v>
      </c>
      <c r="H21" s="13"/>
      <c r="I21" s="40">
        <f>G21-F21</f>
        <v>79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12545</v>
      </c>
      <c r="G22" s="22">
        <v>16335</v>
      </c>
      <c r="H22" s="13"/>
      <c r="I22" s="17">
        <f t="shared" ref="I22:I24" si="1">G22-F22</f>
        <v>3790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115</v>
      </c>
      <c r="G23" s="20">
        <v>145</v>
      </c>
      <c r="H23" s="13"/>
      <c r="I23" s="15">
        <f t="shared" si="1"/>
        <v>30</v>
      </c>
      <c r="J23" s="131">
        <f>I23*2+I24</f>
        <v>2217</v>
      </c>
      <c r="K23" s="129">
        <f>I25*2+I26</f>
        <v>3275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7750</v>
      </c>
      <c r="G24" s="38">
        <v>9907</v>
      </c>
      <c r="H24" s="13"/>
      <c r="I24" s="39">
        <f t="shared" si="1"/>
        <v>2157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17</v>
      </c>
      <c r="G25" s="38">
        <v>38</v>
      </c>
      <c r="H25" s="13"/>
      <c r="I25" s="40">
        <f>G25-F25</f>
        <v>21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11361</v>
      </c>
      <c r="G26" s="22">
        <v>14594</v>
      </c>
      <c r="H26" s="13"/>
      <c r="I26" s="17">
        <f t="shared" ref="I26:I28" si="2">G26-F26</f>
        <v>3233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2171</v>
      </c>
      <c r="K27" s="129">
        <f>I29*2+I30</f>
        <v>2743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9218</v>
      </c>
      <c r="G28" s="38">
        <v>11389</v>
      </c>
      <c r="H28" s="13"/>
      <c r="I28" s="39">
        <f t="shared" si="2"/>
        <v>2171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13526</v>
      </c>
      <c r="G30" s="22">
        <v>16269</v>
      </c>
      <c r="H30" s="13"/>
      <c r="I30" s="17">
        <f t="shared" ref="I30" si="3">G30-F30</f>
        <v>2743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12324</v>
      </c>
      <c r="G31" s="20">
        <v>13219</v>
      </c>
      <c r="H31" s="13"/>
      <c r="I31" s="15">
        <f t="shared" si="0"/>
        <v>895</v>
      </c>
      <c r="J31" s="128">
        <f>I31</f>
        <v>895</v>
      </c>
      <c r="K31" s="129">
        <f>I32</f>
        <v>1403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17588</v>
      </c>
      <c r="G32" s="38">
        <v>18991</v>
      </c>
      <c r="H32" s="13"/>
      <c r="I32" s="40">
        <f t="shared" si="0"/>
        <v>1403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7536</v>
      </c>
      <c r="G33" s="20">
        <v>8136</v>
      </c>
      <c r="H33" s="13"/>
      <c r="I33" s="15">
        <f t="shared" si="0"/>
        <v>600</v>
      </c>
      <c r="J33" s="128">
        <f>I33</f>
        <v>600</v>
      </c>
      <c r="K33" s="129">
        <f>I34</f>
        <v>1601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24324</v>
      </c>
      <c r="G34" s="43">
        <v>25925</v>
      </c>
      <c r="H34" s="13"/>
      <c r="I34" s="60">
        <f t="shared" si="0"/>
        <v>1601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2036</v>
      </c>
      <c r="G35" s="20">
        <v>2081</v>
      </c>
      <c r="H35" s="63"/>
      <c r="I35" s="15">
        <f t="shared" si="0"/>
        <v>45</v>
      </c>
      <c r="J35" s="128">
        <f>I35</f>
        <v>45</v>
      </c>
      <c r="K35" s="129">
        <f>I36</f>
        <v>389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4594</v>
      </c>
      <c r="G36" s="22">
        <v>4983</v>
      </c>
      <c r="H36" s="65"/>
      <c r="I36" s="66">
        <f t="shared" si="0"/>
        <v>389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532</v>
      </c>
      <c r="G37" s="59">
        <v>816</v>
      </c>
      <c r="H37" s="13"/>
      <c r="I37" s="61">
        <f t="shared" si="0"/>
        <v>284</v>
      </c>
      <c r="J37" s="118">
        <f>I37</f>
        <v>284</v>
      </c>
      <c r="K37" s="120">
        <f>I38</f>
        <v>301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641</v>
      </c>
      <c r="G38" s="38">
        <v>942</v>
      </c>
      <c r="H38" s="13"/>
      <c r="I38" s="40">
        <f t="shared" si="0"/>
        <v>301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4232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75471</v>
      </c>
      <c r="G40" s="43">
        <v>79703</v>
      </c>
      <c r="H40" s="13"/>
      <c r="I40" s="44">
        <f t="shared" si="0"/>
        <v>4232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307</v>
      </c>
      <c r="G41" s="20">
        <v>450</v>
      </c>
      <c r="H41" s="13"/>
      <c r="I41" s="15">
        <f t="shared" si="0"/>
        <v>143</v>
      </c>
      <c r="J41" s="96">
        <f>I41*2+I42</f>
        <v>4740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46102</v>
      </c>
      <c r="G42" s="22">
        <v>50556</v>
      </c>
      <c r="H42" s="13"/>
      <c r="I42" s="17">
        <f t="shared" si="0"/>
        <v>4454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2934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21161</v>
      </c>
      <c r="G44" s="22">
        <v>24095</v>
      </c>
      <c r="H44" s="13"/>
      <c r="I44" s="17">
        <f t="shared" si="0"/>
        <v>2934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5614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86869</v>
      </c>
      <c r="G46" s="22">
        <v>92483</v>
      </c>
      <c r="H46" s="13"/>
      <c r="I46" s="17">
        <f t="shared" si="0"/>
        <v>5614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29326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19785</v>
      </c>
      <c r="G51" s="46">
        <v>8000</v>
      </c>
      <c r="I51" s="56">
        <f>+F51-G51</f>
        <v>11785</v>
      </c>
      <c r="J51" s="57">
        <v>50</v>
      </c>
      <c r="K51" s="58">
        <f>I51*J51</f>
        <v>589250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589250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1509250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271665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1780915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81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E48:F49"/>
    <mergeCell ref="G48:G49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I48:K48"/>
    <mergeCell ref="A41:A42"/>
    <mergeCell ref="B41:B42"/>
    <mergeCell ref="C41:C42"/>
    <mergeCell ref="J41:J42"/>
    <mergeCell ref="K41:K42"/>
    <mergeCell ref="A43:A44"/>
    <mergeCell ref="B43:B44"/>
    <mergeCell ref="C43:C44"/>
    <mergeCell ref="J43:J44"/>
    <mergeCell ref="K43:K44"/>
    <mergeCell ref="A45:A46"/>
    <mergeCell ref="B45:B46"/>
    <mergeCell ref="C45:C46"/>
    <mergeCell ref="J45:J46"/>
    <mergeCell ref="K45:K46"/>
    <mergeCell ref="A37:A38"/>
    <mergeCell ref="B37:B38"/>
    <mergeCell ref="C37:C38"/>
    <mergeCell ref="J37:J38"/>
    <mergeCell ref="K37:K38"/>
    <mergeCell ref="A39:A40"/>
    <mergeCell ref="B39:B40"/>
    <mergeCell ref="C39:C40"/>
    <mergeCell ref="J39:J40"/>
    <mergeCell ref="K39:K40"/>
    <mergeCell ref="A33:A34"/>
    <mergeCell ref="B33:B34"/>
    <mergeCell ref="C33:C34"/>
    <mergeCell ref="J33:J34"/>
    <mergeCell ref="K33:K34"/>
    <mergeCell ref="A35:A36"/>
    <mergeCell ref="B35:B36"/>
    <mergeCell ref="C35:C36"/>
    <mergeCell ref="J35:J36"/>
    <mergeCell ref="K35:K36"/>
    <mergeCell ref="A27:A30"/>
    <mergeCell ref="B27:B30"/>
    <mergeCell ref="C27:C30"/>
    <mergeCell ref="J27:J30"/>
    <mergeCell ref="K27:K30"/>
    <mergeCell ref="A31:A32"/>
    <mergeCell ref="B31:B32"/>
    <mergeCell ref="C31:C32"/>
    <mergeCell ref="J31:J32"/>
    <mergeCell ref="K31:K32"/>
    <mergeCell ref="A19:A22"/>
    <mergeCell ref="B19:B22"/>
    <mergeCell ref="C19:C22"/>
    <mergeCell ref="J19:J22"/>
    <mergeCell ref="K19:K22"/>
    <mergeCell ref="A23:A26"/>
    <mergeCell ref="B23:B26"/>
    <mergeCell ref="C23:C26"/>
    <mergeCell ref="J23:J26"/>
    <mergeCell ref="K23:K26"/>
    <mergeCell ref="L13:L14"/>
    <mergeCell ref="A15:A18"/>
    <mergeCell ref="B15:B18"/>
    <mergeCell ref="C15:C18"/>
    <mergeCell ref="J15:J18"/>
    <mergeCell ref="K15:K18"/>
    <mergeCell ref="A10:C10"/>
    <mergeCell ref="I10:K10"/>
    <mergeCell ref="A13:A14"/>
    <mergeCell ref="B13:B14"/>
    <mergeCell ref="C13:C14"/>
    <mergeCell ref="E13:G13"/>
    <mergeCell ref="H13:H14"/>
    <mergeCell ref="I13:K13"/>
    <mergeCell ref="F5:L5"/>
    <mergeCell ref="A7:C7"/>
    <mergeCell ref="A8:C8"/>
    <mergeCell ref="I8:K8"/>
    <mergeCell ref="A9:C9"/>
    <mergeCell ref="I9:K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F167-6396-4659-BBFF-4030149CA01B}">
  <sheetPr>
    <pageSetUpPr fitToPage="1"/>
  </sheetPr>
  <dimension ref="A1:L62"/>
  <sheetViews>
    <sheetView topLeftCell="B9" zoomScale="70" zoomScaleNormal="70" workbookViewId="0">
      <selection activeCell="I11" sqref="I11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62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46161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82</v>
      </c>
      <c r="G14" s="36" t="s">
        <v>83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531</v>
      </c>
      <c r="G15" s="20">
        <v>540</v>
      </c>
      <c r="H15" s="13"/>
      <c r="I15" s="15">
        <f t="shared" ref="I15:I46" si="0">G15-F15</f>
        <v>9</v>
      </c>
      <c r="J15" s="131">
        <f>I15*2+I16</f>
        <v>2177</v>
      </c>
      <c r="K15" s="129">
        <f>I17*2+I18</f>
        <v>3476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78400</v>
      </c>
      <c r="G16" s="38">
        <v>80559</v>
      </c>
      <c r="H16" s="13"/>
      <c r="I16" s="39">
        <f t="shared" si="0"/>
        <v>2159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296</v>
      </c>
      <c r="G17" s="38">
        <v>310</v>
      </c>
      <c r="H17" s="13"/>
      <c r="I17" s="40">
        <f>G17-F17</f>
        <v>14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85492</v>
      </c>
      <c r="G18" s="22">
        <v>88940</v>
      </c>
      <c r="H18" s="13"/>
      <c r="I18" s="17">
        <f t="shared" si="0"/>
        <v>3448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33</v>
      </c>
      <c r="G19" s="20">
        <v>33</v>
      </c>
      <c r="H19" s="13"/>
      <c r="I19" s="15">
        <f t="shared" si="0"/>
        <v>0</v>
      </c>
      <c r="J19" s="131">
        <f>I19*2+I20</f>
        <v>583</v>
      </c>
      <c r="K19" s="129">
        <f>I21*2+I22</f>
        <v>1500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5271</v>
      </c>
      <c r="G20" s="38">
        <v>5854</v>
      </c>
      <c r="H20" s="13"/>
      <c r="I20" s="39">
        <f t="shared" si="0"/>
        <v>583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200</v>
      </c>
      <c r="G21" s="38">
        <v>205</v>
      </c>
      <c r="H21" s="13"/>
      <c r="I21" s="40">
        <f>G21-F21</f>
        <v>5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16335</v>
      </c>
      <c r="G22" s="22">
        <v>17825</v>
      </c>
      <c r="H22" s="13"/>
      <c r="I22" s="17">
        <f t="shared" ref="I22:I24" si="1">G22-F22</f>
        <v>1490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145</v>
      </c>
      <c r="G23" s="20">
        <v>145</v>
      </c>
      <c r="H23" s="13"/>
      <c r="I23" s="15">
        <f t="shared" si="1"/>
        <v>0</v>
      </c>
      <c r="J23" s="131">
        <f>I23*2+I24</f>
        <v>1568</v>
      </c>
      <c r="K23" s="129">
        <f>I25*2+I26</f>
        <v>1823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9907</v>
      </c>
      <c r="G24" s="38">
        <v>11475</v>
      </c>
      <c r="H24" s="13"/>
      <c r="I24" s="39">
        <f t="shared" si="1"/>
        <v>1568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38</v>
      </c>
      <c r="G25" s="38">
        <v>38</v>
      </c>
      <c r="H25" s="13"/>
      <c r="I25" s="40">
        <f>G25-F25</f>
        <v>0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14594</v>
      </c>
      <c r="G26" s="22">
        <v>16417</v>
      </c>
      <c r="H26" s="13"/>
      <c r="I26" s="17">
        <f t="shared" ref="I26:I28" si="2">G26-F26</f>
        <v>1823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1481</v>
      </c>
      <c r="K27" s="129">
        <f>I29*2+I30</f>
        <v>2103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11389</v>
      </c>
      <c r="G28" s="38">
        <v>12870</v>
      </c>
      <c r="H28" s="13"/>
      <c r="I28" s="39">
        <f t="shared" si="2"/>
        <v>1481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16269</v>
      </c>
      <c r="G30" s="22">
        <v>18372</v>
      </c>
      <c r="H30" s="13"/>
      <c r="I30" s="17">
        <f t="shared" ref="I30" si="3">G30-F30</f>
        <v>2103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13219</v>
      </c>
      <c r="G31" s="20">
        <v>13530</v>
      </c>
      <c r="H31" s="13"/>
      <c r="I31" s="15">
        <f t="shared" si="0"/>
        <v>311</v>
      </c>
      <c r="J31" s="128">
        <f>I31</f>
        <v>311</v>
      </c>
      <c r="K31" s="129">
        <f>I32</f>
        <v>976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18991</v>
      </c>
      <c r="G32" s="38">
        <v>19967</v>
      </c>
      <c r="H32" s="13"/>
      <c r="I32" s="40">
        <f t="shared" si="0"/>
        <v>976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8136</v>
      </c>
      <c r="G33" s="20">
        <v>8573</v>
      </c>
      <c r="H33" s="13"/>
      <c r="I33" s="15">
        <f t="shared" si="0"/>
        <v>437</v>
      </c>
      <c r="J33" s="128">
        <f>I33</f>
        <v>437</v>
      </c>
      <c r="K33" s="129">
        <f>I34</f>
        <v>1102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25925</v>
      </c>
      <c r="G34" s="43">
        <v>27027</v>
      </c>
      <c r="H34" s="13"/>
      <c r="I34" s="60">
        <f t="shared" si="0"/>
        <v>1102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2081</v>
      </c>
      <c r="G35" s="20">
        <v>2088</v>
      </c>
      <c r="H35" s="63"/>
      <c r="I35" s="15">
        <f t="shared" si="0"/>
        <v>7</v>
      </c>
      <c r="J35" s="128">
        <f>I35</f>
        <v>7</v>
      </c>
      <c r="K35" s="129">
        <f>I36</f>
        <v>8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4983</v>
      </c>
      <c r="G36" s="22">
        <v>4991</v>
      </c>
      <c r="H36" s="65"/>
      <c r="I36" s="66">
        <f t="shared" si="0"/>
        <v>8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816</v>
      </c>
      <c r="G37" s="59">
        <v>1892</v>
      </c>
      <c r="H37" s="13"/>
      <c r="I37" s="61">
        <f t="shared" si="0"/>
        <v>1076</v>
      </c>
      <c r="J37" s="118">
        <f>I37</f>
        <v>1076</v>
      </c>
      <c r="K37" s="120">
        <f>I38</f>
        <v>2654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942</v>
      </c>
      <c r="G38" s="38">
        <v>3596</v>
      </c>
      <c r="H38" s="13"/>
      <c r="I38" s="40">
        <f t="shared" si="0"/>
        <v>2654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2781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79703</v>
      </c>
      <c r="G40" s="43">
        <v>82484</v>
      </c>
      <c r="H40" s="13"/>
      <c r="I40" s="44">
        <f t="shared" si="0"/>
        <v>2781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450</v>
      </c>
      <c r="G41" s="20">
        <v>494</v>
      </c>
      <c r="H41" s="13"/>
      <c r="I41" s="15">
        <f t="shared" si="0"/>
        <v>44</v>
      </c>
      <c r="J41" s="96">
        <f>I41*2+I42</f>
        <v>1682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50556</v>
      </c>
      <c r="G42" s="22">
        <v>52150</v>
      </c>
      <c r="H42" s="13"/>
      <c r="I42" s="17">
        <f t="shared" si="0"/>
        <v>1594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1221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24095</v>
      </c>
      <c r="G44" s="22">
        <v>25316</v>
      </c>
      <c r="H44" s="13"/>
      <c r="I44" s="17">
        <f t="shared" si="0"/>
        <v>1221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3353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92483</v>
      </c>
      <c r="G46" s="22">
        <v>95836</v>
      </c>
      <c r="H46" s="13"/>
      <c r="I46" s="17">
        <f t="shared" si="0"/>
        <v>3353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16677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13642</v>
      </c>
      <c r="G51" s="46">
        <v>8000</v>
      </c>
      <c r="I51" s="56">
        <f>+F51-G51</f>
        <v>5642</v>
      </c>
      <c r="J51" s="57">
        <v>50</v>
      </c>
      <c r="K51" s="58">
        <f>I51*J51</f>
        <v>282100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282100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1202100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216378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1418478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84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F5:L5"/>
    <mergeCell ref="A7:C7"/>
    <mergeCell ref="A8:C8"/>
    <mergeCell ref="I8:K8"/>
    <mergeCell ref="A9:C9"/>
    <mergeCell ref="I9:K9"/>
    <mergeCell ref="A10:C10"/>
    <mergeCell ref="I10:K10"/>
    <mergeCell ref="A13:A14"/>
    <mergeCell ref="B13:B14"/>
    <mergeCell ref="C13:C14"/>
    <mergeCell ref="E13:G13"/>
    <mergeCell ref="H13:H14"/>
    <mergeCell ref="I13:K13"/>
    <mergeCell ref="L13:L14"/>
    <mergeCell ref="A15:A18"/>
    <mergeCell ref="B15:B18"/>
    <mergeCell ref="C15:C18"/>
    <mergeCell ref="J15:J18"/>
    <mergeCell ref="K15:K18"/>
    <mergeCell ref="A23:A26"/>
    <mergeCell ref="B23:B26"/>
    <mergeCell ref="C23:C26"/>
    <mergeCell ref="J23:J26"/>
    <mergeCell ref="K23:K26"/>
    <mergeCell ref="A19:A22"/>
    <mergeCell ref="B19:B22"/>
    <mergeCell ref="C19:C22"/>
    <mergeCell ref="J19:J22"/>
    <mergeCell ref="K19:K22"/>
    <mergeCell ref="A31:A32"/>
    <mergeCell ref="B31:B32"/>
    <mergeCell ref="C31:C32"/>
    <mergeCell ref="J31:J32"/>
    <mergeCell ref="K31:K32"/>
    <mergeCell ref="A27:A30"/>
    <mergeCell ref="B27:B30"/>
    <mergeCell ref="C27:C30"/>
    <mergeCell ref="J27:J30"/>
    <mergeCell ref="K27:K30"/>
    <mergeCell ref="A35:A36"/>
    <mergeCell ref="B35:B36"/>
    <mergeCell ref="C35:C36"/>
    <mergeCell ref="J35:J36"/>
    <mergeCell ref="K35:K36"/>
    <mergeCell ref="A33:A34"/>
    <mergeCell ref="B33:B34"/>
    <mergeCell ref="C33:C34"/>
    <mergeCell ref="J33:J34"/>
    <mergeCell ref="K33:K34"/>
    <mergeCell ref="A39:A40"/>
    <mergeCell ref="B39:B40"/>
    <mergeCell ref="C39:C40"/>
    <mergeCell ref="J39:J40"/>
    <mergeCell ref="K39:K40"/>
    <mergeCell ref="A37:A38"/>
    <mergeCell ref="B37:B38"/>
    <mergeCell ref="C37:C38"/>
    <mergeCell ref="J37:J38"/>
    <mergeCell ref="K37:K38"/>
    <mergeCell ref="A45:A46"/>
    <mergeCell ref="B45:B46"/>
    <mergeCell ref="C45:C46"/>
    <mergeCell ref="J45:J46"/>
    <mergeCell ref="K45:K46"/>
    <mergeCell ref="A43:A44"/>
    <mergeCell ref="B43:B44"/>
    <mergeCell ref="C43:C44"/>
    <mergeCell ref="J43:J44"/>
    <mergeCell ref="K43:K44"/>
    <mergeCell ref="A41:A42"/>
    <mergeCell ref="B41:B42"/>
    <mergeCell ref="C41:C42"/>
    <mergeCell ref="J41:J42"/>
    <mergeCell ref="K41:K42"/>
    <mergeCell ref="E48:F49"/>
    <mergeCell ref="G48:G49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I48:K48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97B3-2E7A-46A3-BDAA-437682CE1F6C}">
  <sheetPr>
    <pageSetUpPr fitToPage="1"/>
  </sheetPr>
  <dimension ref="A1:L62"/>
  <sheetViews>
    <sheetView topLeftCell="A12" zoomScale="70" zoomScaleNormal="70" workbookViewId="0">
      <selection activeCell="M65" sqref="M64:M65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63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46182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83</v>
      </c>
      <c r="G14" s="36" t="s">
        <v>85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540</v>
      </c>
      <c r="G15" s="20">
        <v>541</v>
      </c>
      <c r="H15" s="13"/>
      <c r="I15" s="15">
        <f t="shared" ref="I15:I46" si="0">G15-F15</f>
        <v>1</v>
      </c>
      <c r="J15" s="131">
        <f>I15*2+I16</f>
        <v>2271</v>
      </c>
      <c r="K15" s="129">
        <f>I17*2+I18</f>
        <v>4233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80559</v>
      </c>
      <c r="G16" s="38">
        <v>82828</v>
      </c>
      <c r="H16" s="13"/>
      <c r="I16" s="39">
        <f t="shared" si="0"/>
        <v>2269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310</v>
      </c>
      <c r="G17" s="38">
        <v>310</v>
      </c>
      <c r="H17" s="13"/>
      <c r="I17" s="40">
        <f>G17-F17</f>
        <v>0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88940</v>
      </c>
      <c r="G18" s="22">
        <v>93173</v>
      </c>
      <c r="H18" s="13"/>
      <c r="I18" s="17">
        <f t="shared" si="0"/>
        <v>4233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33</v>
      </c>
      <c r="G19" s="20">
        <v>33</v>
      </c>
      <c r="H19" s="13"/>
      <c r="I19" s="15">
        <f t="shared" si="0"/>
        <v>0</v>
      </c>
      <c r="J19" s="131">
        <f>I19*2+I20</f>
        <v>1021</v>
      </c>
      <c r="K19" s="129">
        <f>I21*2+I22</f>
        <v>2099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5854</v>
      </c>
      <c r="G20" s="38">
        <v>6875</v>
      </c>
      <c r="H20" s="13"/>
      <c r="I20" s="39">
        <f t="shared" si="0"/>
        <v>1021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205</v>
      </c>
      <c r="G21" s="38">
        <v>211</v>
      </c>
      <c r="H21" s="13"/>
      <c r="I21" s="40">
        <f>G21-F21</f>
        <v>6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17825</v>
      </c>
      <c r="G22" s="22">
        <v>19912</v>
      </c>
      <c r="H22" s="13"/>
      <c r="I22" s="17">
        <f t="shared" ref="I22:I24" si="1">G22-F22</f>
        <v>2087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145</v>
      </c>
      <c r="G23" s="20">
        <v>145</v>
      </c>
      <c r="H23" s="13"/>
      <c r="I23" s="15">
        <f t="shared" si="1"/>
        <v>0</v>
      </c>
      <c r="J23" s="131">
        <f>I23*2+I24</f>
        <v>853</v>
      </c>
      <c r="K23" s="129">
        <f>I25*2+I26</f>
        <v>939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11475</v>
      </c>
      <c r="G24" s="38">
        <v>12328</v>
      </c>
      <c r="H24" s="13"/>
      <c r="I24" s="39">
        <f t="shared" si="1"/>
        <v>853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38</v>
      </c>
      <c r="G25" s="38">
        <v>38</v>
      </c>
      <c r="H25" s="13"/>
      <c r="I25" s="40">
        <f>G25-F25</f>
        <v>0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16417</v>
      </c>
      <c r="G26" s="22">
        <v>17356</v>
      </c>
      <c r="H26" s="13"/>
      <c r="I26" s="17">
        <f t="shared" ref="I26:I28" si="2">G26-F26</f>
        <v>939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711</v>
      </c>
      <c r="K27" s="129">
        <f>I29*2+I30</f>
        <v>1585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12870</v>
      </c>
      <c r="G28" s="38">
        <v>13581</v>
      </c>
      <c r="H28" s="13"/>
      <c r="I28" s="39">
        <f t="shared" si="2"/>
        <v>711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18372</v>
      </c>
      <c r="G30" s="22">
        <v>19957</v>
      </c>
      <c r="H30" s="13"/>
      <c r="I30" s="17">
        <f t="shared" ref="I30" si="3">G30-F30</f>
        <v>1585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13530</v>
      </c>
      <c r="G31" s="20">
        <v>13942</v>
      </c>
      <c r="H31" s="13"/>
      <c r="I31" s="15">
        <f t="shared" si="0"/>
        <v>412</v>
      </c>
      <c r="J31" s="128">
        <f>I31</f>
        <v>412</v>
      </c>
      <c r="K31" s="129">
        <f>I32</f>
        <v>760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19967</v>
      </c>
      <c r="G32" s="38">
        <v>20727</v>
      </c>
      <c r="H32" s="13"/>
      <c r="I32" s="40">
        <f t="shared" si="0"/>
        <v>760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8573</v>
      </c>
      <c r="G33" s="20">
        <v>8765</v>
      </c>
      <c r="H33" s="13"/>
      <c r="I33" s="15">
        <f t="shared" si="0"/>
        <v>192</v>
      </c>
      <c r="J33" s="128">
        <f>I33</f>
        <v>192</v>
      </c>
      <c r="K33" s="129">
        <f>I34</f>
        <v>745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27027</v>
      </c>
      <c r="G34" s="43">
        <v>27772</v>
      </c>
      <c r="H34" s="13"/>
      <c r="I34" s="60">
        <f t="shared" si="0"/>
        <v>745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2088</v>
      </c>
      <c r="G35" s="20">
        <v>2123</v>
      </c>
      <c r="H35" s="63"/>
      <c r="I35" s="15">
        <f t="shared" si="0"/>
        <v>35</v>
      </c>
      <c r="J35" s="128">
        <f>I35</f>
        <v>35</v>
      </c>
      <c r="K35" s="129">
        <f>I36</f>
        <v>140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4991</v>
      </c>
      <c r="G36" s="22">
        <v>5131</v>
      </c>
      <c r="H36" s="65"/>
      <c r="I36" s="66">
        <f t="shared" si="0"/>
        <v>140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1892</v>
      </c>
      <c r="G37" s="59">
        <v>1961</v>
      </c>
      <c r="H37" s="13"/>
      <c r="I37" s="61">
        <f t="shared" si="0"/>
        <v>69</v>
      </c>
      <c r="J37" s="118">
        <f>I37</f>
        <v>69</v>
      </c>
      <c r="K37" s="120">
        <f>I38</f>
        <v>16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3596</v>
      </c>
      <c r="G38" s="38">
        <v>3612</v>
      </c>
      <c r="H38" s="13"/>
      <c r="I38" s="40">
        <f t="shared" si="0"/>
        <v>16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1781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82484</v>
      </c>
      <c r="G40" s="43">
        <v>84265</v>
      </c>
      <c r="H40" s="13"/>
      <c r="I40" s="44">
        <f t="shared" si="0"/>
        <v>1781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494</v>
      </c>
      <c r="G41" s="20">
        <v>494</v>
      </c>
      <c r="H41" s="13"/>
      <c r="I41" s="15">
        <f t="shared" si="0"/>
        <v>0</v>
      </c>
      <c r="J41" s="96">
        <f>I41*2+I42</f>
        <v>1322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52150</v>
      </c>
      <c r="G42" s="22">
        <v>53472</v>
      </c>
      <c r="H42" s="13"/>
      <c r="I42" s="17">
        <f t="shared" si="0"/>
        <v>1322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425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25316</v>
      </c>
      <c r="G44" s="22">
        <v>25741</v>
      </c>
      <c r="H44" s="13"/>
      <c r="I44" s="17">
        <f t="shared" si="0"/>
        <v>425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1784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95836</v>
      </c>
      <c r="G46" s="22">
        <v>97620</v>
      </c>
      <c r="H46" s="13"/>
      <c r="I46" s="17">
        <f t="shared" si="0"/>
        <v>1784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10876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10517</v>
      </c>
      <c r="G51" s="46">
        <v>8000</v>
      </c>
      <c r="I51" s="56">
        <f>+F51-G51</f>
        <v>2517</v>
      </c>
      <c r="J51" s="57">
        <v>50</v>
      </c>
      <c r="K51" s="58">
        <f>I51*J51</f>
        <v>125850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125850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1045850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188253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1234103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86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E48:F49"/>
    <mergeCell ref="G48:G49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I48:K48"/>
    <mergeCell ref="A41:A42"/>
    <mergeCell ref="B41:B42"/>
    <mergeCell ref="C41:C42"/>
    <mergeCell ref="J41:J42"/>
    <mergeCell ref="K41:K42"/>
    <mergeCell ref="A43:A44"/>
    <mergeCell ref="B43:B44"/>
    <mergeCell ref="C43:C44"/>
    <mergeCell ref="J43:J44"/>
    <mergeCell ref="K43:K44"/>
    <mergeCell ref="A45:A46"/>
    <mergeCell ref="B45:B46"/>
    <mergeCell ref="C45:C46"/>
    <mergeCell ref="J45:J46"/>
    <mergeCell ref="K45:K46"/>
    <mergeCell ref="A37:A38"/>
    <mergeCell ref="B37:B38"/>
    <mergeCell ref="C37:C38"/>
    <mergeCell ref="J37:J38"/>
    <mergeCell ref="K37:K38"/>
    <mergeCell ref="A39:A40"/>
    <mergeCell ref="B39:B40"/>
    <mergeCell ref="C39:C40"/>
    <mergeCell ref="J39:J40"/>
    <mergeCell ref="K39:K40"/>
    <mergeCell ref="A33:A34"/>
    <mergeCell ref="B33:B34"/>
    <mergeCell ref="C33:C34"/>
    <mergeCell ref="J33:J34"/>
    <mergeCell ref="K33:K34"/>
    <mergeCell ref="A35:A36"/>
    <mergeCell ref="B35:B36"/>
    <mergeCell ref="C35:C36"/>
    <mergeCell ref="J35:J36"/>
    <mergeCell ref="K35:K36"/>
    <mergeCell ref="A27:A30"/>
    <mergeCell ref="B27:B30"/>
    <mergeCell ref="C27:C30"/>
    <mergeCell ref="J27:J30"/>
    <mergeCell ref="K27:K30"/>
    <mergeCell ref="A31:A32"/>
    <mergeCell ref="B31:B32"/>
    <mergeCell ref="C31:C32"/>
    <mergeCell ref="J31:J32"/>
    <mergeCell ref="K31:K32"/>
    <mergeCell ref="A19:A22"/>
    <mergeCell ref="B19:B22"/>
    <mergeCell ref="C19:C22"/>
    <mergeCell ref="J19:J22"/>
    <mergeCell ref="K19:K22"/>
    <mergeCell ref="A23:A26"/>
    <mergeCell ref="B23:B26"/>
    <mergeCell ref="C23:C26"/>
    <mergeCell ref="J23:J26"/>
    <mergeCell ref="K23:K26"/>
    <mergeCell ref="L13:L14"/>
    <mergeCell ref="A15:A18"/>
    <mergeCell ref="B15:B18"/>
    <mergeCell ref="C15:C18"/>
    <mergeCell ref="J15:J18"/>
    <mergeCell ref="K15:K18"/>
    <mergeCell ref="A10:C10"/>
    <mergeCell ref="I10:K10"/>
    <mergeCell ref="A13:A14"/>
    <mergeCell ref="B13:B14"/>
    <mergeCell ref="C13:C14"/>
    <mergeCell ref="E13:G13"/>
    <mergeCell ref="H13:H14"/>
    <mergeCell ref="I13:K13"/>
    <mergeCell ref="F5:L5"/>
    <mergeCell ref="A7:C7"/>
    <mergeCell ref="A8:C8"/>
    <mergeCell ref="I8:K8"/>
    <mergeCell ref="A9:C9"/>
    <mergeCell ref="I9:K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D0B8-764C-450A-89A6-4AC32727CB07}">
  <sheetPr>
    <pageSetUpPr fitToPage="1"/>
  </sheetPr>
  <dimension ref="A1:L62"/>
  <sheetViews>
    <sheetView topLeftCell="A4" zoomScale="70" zoomScaleNormal="70" workbookViewId="0">
      <selection activeCell="S65" sqref="S65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64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46224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85</v>
      </c>
      <c r="G14" s="36" t="s">
        <v>87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541</v>
      </c>
      <c r="G15" s="20">
        <v>566</v>
      </c>
      <c r="H15" s="13"/>
      <c r="I15" s="15">
        <f t="shared" ref="I15:I46" si="0">G15-F15</f>
        <v>25</v>
      </c>
      <c r="J15" s="131">
        <f>I15*2+I16</f>
        <v>3991</v>
      </c>
      <c r="K15" s="129">
        <f>I17*2+I18</f>
        <v>5558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82828</v>
      </c>
      <c r="G16" s="38">
        <v>86769</v>
      </c>
      <c r="H16" s="13"/>
      <c r="I16" s="39">
        <f t="shared" si="0"/>
        <v>3941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310</v>
      </c>
      <c r="G17" s="38">
        <v>323</v>
      </c>
      <c r="H17" s="13"/>
      <c r="I17" s="40">
        <f>G17-F17</f>
        <v>13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93173</v>
      </c>
      <c r="G18" s="22">
        <v>98705</v>
      </c>
      <c r="H18" s="13"/>
      <c r="I18" s="17">
        <f t="shared" si="0"/>
        <v>5532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33</v>
      </c>
      <c r="G19" s="20">
        <v>53</v>
      </c>
      <c r="H19" s="13"/>
      <c r="I19" s="15">
        <f t="shared" si="0"/>
        <v>20</v>
      </c>
      <c r="J19" s="131">
        <f>I19*2+I20</f>
        <v>1334</v>
      </c>
      <c r="K19" s="129">
        <f>I21*2+I22</f>
        <v>2981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6875</v>
      </c>
      <c r="G20" s="38">
        <v>8169</v>
      </c>
      <c r="H20" s="13"/>
      <c r="I20" s="39">
        <f t="shared" si="0"/>
        <v>1294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211</v>
      </c>
      <c r="G21" s="38">
        <v>265</v>
      </c>
      <c r="H21" s="13"/>
      <c r="I21" s="40">
        <f>G21-F21</f>
        <v>54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19912</v>
      </c>
      <c r="G22" s="22">
        <v>22785</v>
      </c>
      <c r="H22" s="13"/>
      <c r="I22" s="17">
        <f t="shared" ref="I22:I24" si="1">G22-F22</f>
        <v>2873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145</v>
      </c>
      <c r="G23" s="20">
        <v>156</v>
      </c>
      <c r="H23" s="13"/>
      <c r="I23" s="15">
        <f t="shared" si="1"/>
        <v>11</v>
      </c>
      <c r="J23" s="131">
        <f>I23*2+I24</f>
        <v>1661</v>
      </c>
      <c r="K23" s="129">
        <f>I25*2+I26</f>
        <v>4868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12328</v>
      </c>
      <c r="G24" s="38">
        <v>13967</v>
      </c>
      <c r="H24" s="13"/>
      <c r="I24" s="39">
        <f t="shared" si="1"/>
        <v>1639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38</v>
      </c>
      <c r="G25" s="38">
        <v>39</v>
      </c>
      <c r="H25" s="13"/>
      <c r="I25" s="40">
        <f>G25-F25</f>
        <v>1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17356</v>
      </c>
      <c r="G26" s="22">
        <v>22222</v>
      </c>
      <c r="H26" s="13"/>
      <c r="I26" s="17">
        <f t="shared" ref="I26:I28" si="2">G26-F26</f>
        <v>4866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1258</v>
      </c>
      <c r="K27" s="129">
        <f>I29*2+I30</f>
        <v>1996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13581</v>
      </c>
      <c r="G28" s="38">
        <v>14839</v>
      </c>
      <c r="H28" s="13"/>
      <c r="I28" s="39">
        <f t="shared" si="2"/>
        <v>1258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19957</v>
      </c>
      <c r="G30" s="22">
        <v>21953</v>
      </c>
      <c r="H30" s="13"/>
      <c r="I30" s="17">
        <f t="shared" ref="I30" si="3">G30-F30</f>
        <v>1996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13942</v>
      </c>
      <c r="G31" s="20">
        <v>14428</v>
      </c>
      <c r="H31" s="13"/>
      <c r="I31" s="15">
        <f t="shared" si="0"/>
        <v>486</v>
      </c>
      <c r="J31" s="128">
        <f>I31</f>
        <v>486</v>
      </c>
      <c r="K31" s="129">
        <f>I32</f>
        <v>678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20727</v>
      </c>
      <c r="G32" s="38">
        <v>21405</v>
      </c>
      <c r="H32" s="13"/>
      <c r="I32" s="40">
        <f t="shared" si="0"/>
        <v>678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8765</v>
      </c>
      <c r="G33" s="20">
        <v>9457</v>
      </c>
      <c r="H33" s="13"/>
      <c r="I33" s="15">
        <f t="shared" si="0"/>
        <v>692</v>
      </c>
      <c r="J33" s="128">
        <f>I33</f>
        <v>692</v>
      </c>
      <c r="K33" s="129">
        <f>I34</f>
        <v>1133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27772</v>
      </c>
      <c r="G34" s="43">
        <v>28905</v>
      </c>
      <c r="H34" s="13"/>
      <c r="I34" s="60">
        <f t="shared" si="0"/>
        <v>1133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2123</v>
      </c>
      <c r="G35" s="20">
        <v>2149</v>
      </c>
      <c r="H35" s="63"/>
      <c r="I35" s="15">
        <f t="shared" si="0"/>
        <v>26</v>
      </c>
      <c r="J35" s="128">
        <f>I35</f>
        <v>26</v>
      </c>
      <c r="K35" s="129">
        <f>I36</f>
        <v>287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5131</v>
      </c>
      <c r="G36" s="22">
        <v>5418</v>
      </c>
      <c r="H36" s="65"/>
      <c r="I36" s="66">
        <f t="shared" si="0"/>
        <v>287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1961</v>
      </c>
      <c r="G37" s="59">
        <v>2138</v>
      </c>
      <c r="H37" s="13"/>
      <c r="I37" s="61">
        <f t="shared" si="0"/>
        <v>177</v>
      </c>
      <c r="J37" s="118">
        <f>I37</f>
        <v>177</v>
      </c>
      <c r="K37" s="120">
        <f>I38</f>
        <v>52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3612</v>
      </c>
      <c r="G38" s="38">
        <v>3664</v>
      </c>
      <c r="H38" s="13"/>
      <c r="I38" s="40">
        <f t="shared" si="0"/>
        <v>52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4048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84265</v>
      </c>
      <c r="G40" s="43">
        <v>88313</v>
      </c>
      <c r="H40" s="13"/>
      <c r="I40" s="44">
        <f t="shared" si="0"/>
        <v>4048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494</v>
      </c>
      <c r="G41" s="20">
        <v>516</v>
      </c>
      <c r="H41" s="13"/>
      <c r="I41" s="15">
        <f t="shared" si="0"/>
        <v>22</v>
      </c>
      <c r="J41" s="96">
        <f>I41*2+I42</f>
        <v>3337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53472</v>
      </c>
      <c r="G42" s="22">
        <v>56765</v>
      </c>
      <c r="H42" s="13"/>
      <c r="I42" s="17">
        <f t="shared" si="0"/>
        <v>3293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883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25741</v>
      </c>
      <c r="G44" s="22">
        <v>26624</v>
      </c>
      <c r="H44" s="13"/>
      <c r="I44" s="17">
        <f t="shared" si="0"/>
        <v>883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4336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97620</v>
      </c>
      <c r="G46" s="22">
        <v>101956</v>
      </c>
      <c r="H46" s="13"/>
      <c r="I46" s="17">
        <f t="shared" si="0"/>
        <v>4336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22229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17553</v>
      </c>
      <c r="G51" s="46">
        <v>8000</v>
      </c>
      <c r="I51" s="56">
        <f>+F51-G51</f>
        <v>9553</v>
      </c>
      <c r="J51" s="57">
        <v>50</v>
      </c>
      <c r="K51" s="58">
        <f>I51*J51</f>
        <v>477650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477650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1397650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251577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1649227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88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F5:L5"/>
    <mergeCell ref="A7:C7"/>
    <mergeCell ref="A8:C8"/>
    <mergeCell ref="I8:K8"/>
    <mergeCell ref="A9:C9"/>
    <mergeCell ref="I9:K9"/>
    <mergeCell ref="A10:C10"/>
    <mergeCell ref="I10:K10"/>
    <mergeCell ref="A13:A14"/>
    <mergeCell ref="B13:B14"/>
    <mergeCell ref="C13:C14"/>
    <mergeCell ref="E13:G13"/>
    <mergeCell ref="H13:H14"/>
    <mergeCell ref="I13:K13"/>
    <mergeCell ref="L13:L14"/>
    <mergeCell ref="A15:A18"/>
    <mergeCell ref="B15:B18"/>
    <mergeCell ref="C15:C18"/>
    <mergeCell ref="J15:J18"/>
    <mergeCell ref="K15:K18"/>
    <mergeCell ref="A23:A26"/>
    <mergeCell ref="B23:B26"/>
    <mergeCell ref="C23:C26"/>
    <mergeCell ref="J23:J26"/>
    <mergeCell ref="K23:K26"/>
    <mergeCell ref="A19:A22"/>
    <mergeCell ref="B19:B22"/>
    <mergeCell ref="C19:C22"/>
    <mergeCell ref="J19:J22"/>
    <mergeCell ref="K19:K22"/>
    <mergeCell ref="A31:A32"/>
    <mergeCell ref="B31:B32"/>
    <mergeCell ref="C31:C32"/>
    <mergeCell ref="J31:J32"/>
    <mergeCell ref="K31:K32"/>
    <mergeCell ref="A27:A30"/>
    <mergeCell ref="B27:B30"/>
    <mergeCell ref="C27:C30"/>
    <mergeCell ref="J27:J30"/>
    <mergeCell ref="K27:K30"/>
    <mergeCell ref="A35:A36"/>
    <mergeCell ref="B35:B36"/>
    <mergeCell ref="C35:C36"/>
    <mergeCell ref="J35:J36"/>
    <mergeCell ref="K35:K36"/>
    <mergeCell ref="A33:A34"/>
    <mergeCell ref="B33:B34"/>
    <mergeCell ref="C33:C34"/>
    <mergeCell ref="J33:J34"/>
    <mergeCell ref="K33:K34"/>
    <mergeCell ref="A39:A40"/>
    <mergeCell ref="B39:B40"/>
    <mergeCell ref="C39:C40"/>
    <mergeCell ref="J39:J40"/>
    <mergeCell ref="K39:K40"/>
    <mergeCell ref="A37:A38"/>
    <mergeCell ref="B37:B38"/>
    <mergeCell ref="C37:C38"/>
    <mergeCell ref="J37:J38"/>
    <mergeCell ref="K37:K38"/>
    <mergeCell ref="I48:K48"/>
    <mergeCell ref="A41:A42"/>
    <mergeCell ref="B41:B42"/>
    <mergeCell ref="C41:C42"/>
    <mergeCell ref="J41:J42"/>
    <mergeCell ref="K41:K42"/>
    <mergeCell ref="A43:A44"/>
    <mergeCell ref="B43:B44"/>
    <mergeCell ref="C43:C44"/>
    <mergeCell ref="J43:J44"/>
    <mergeCell ref="K43:K44"/>
    <mergeCell ref="A45:A46"/>
    <mergeCell ref="B45:B46"/>
    <mergeCell ref="C45:C46"/>
    <mergeCell ref="J45:J46"/>
    <mergeCell ref="K45:K46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E48:F49"/>
    <mergeCell ref="G48:G4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863A-36B0-495C-9DDE-35488576D466}">
  <sheetPr>
    <pageSetUpPr fitToPage="1"/>
  </sheetPr>
  <dimension ref="A1:L62"/>
  <sheetViews>
    <sheetView zoomScale="70" zoomScaleNormal="70" workbookViewId="0">
      <selection activeCell="S49" sqref="S49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91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46255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87</v>
      </c>
      <c r="G14" s="36" t="s">
        <v>89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566</v>
      </c>
      <c r="G15" s="20">
        <v>569</v>
      </c>
      <c r="H15" s="13"/>
      <c r="I15" s="15">
        <f t="shared" ref="I15:I46" si="0">G15-F15</f>
        <v>3</v>
      </c>
      <c r="J15" s="131">
        <f>I15*2+I16</f>
        <v>4648</v>
      </c>
      <c r="K15" s="129">
        <f>I17*2+I18</f>
        <v>3762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86769</v>
      </c>
      <c r="G16" s="38">
        <v>91411</v>
      </c>
      <c r="H16" s="13"/>
      <c r="I16" s="39">
        <f t="shared" si="0"/>
        <v>4642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323</v>
      </c>
      <c r="G17" s="38">
        <v>468</v>
      </c>
      <c r="H17" s="13"/>
      <c r="I17" s="40">
        <f>G17-F17</f>
        <v>145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98705</v>
      </c>
      <c r="G18" s="22">
        <v>102177</v>
      </c>
      <c r="H18" s="13"/>
      <c r="I18" s="17">
        <f t="shared" si="0"/>
        <v>3472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53</v>
      </c>
      <c r="G19" s="20">
        <v>73</v>
      </c>
      <c r="H19" s="13"/>
      <c r="I19" s="15">
        <f t="shared" si="0"/>
        <v>20</v>
      </c>
      <c r="J19" s="131">
        <f>I19*2+I20</f>
        <v>650</v>
      </c>
      <c r="K19" s="129">
        <f>I21*2+I22</f>
        <v>4026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8169</v>
      </c>
      <c r="G20" s="38">
        <v>8779</v>
      </c>
      <c r="H20" s="13"/>
      <c r="I20" s="39">
        <f t="shared" si="0"/>
        <v>610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265</v>
      </c>
      <c r="G21" s="38">
        <v>276</v>
      </c>
      <c r="H21" s="13"/>
      <c r="I21" s="40">
        <f>G21-F21</f>
        <v>11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22785</v>
      </c>
      <c r="G22" s="22">
        <v>26789</v>
      </c>
      <c r="H22" s="13"/>
      <c r="I22" s="17">
        <f t="shared" ref="I22:I24" si="1">G22-F22</f>
        <v>4004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156</v>
      </c>
      <c r="G23" s="20">
        <v>156</v>
      </c>
      <c r="H23" s="13"/>
      <c r="I23" s="15">
        <f t="shared" si="1"/>
        <v>0</v>
      </c>
      <c r="J23" s="131">
        <f>I23*2+I24</f>
        <v>1287</v>
      </c>
      <c r="K23" s="129">
        <f>I25*2+I26</f>
        <v>1431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13967</v>
      </c>
      <c r="G24" s="38">
        <v>15254</v>
      </c>
      <c r="H24" s="13"/>
      <c r="I24" s="39">
        <f t="shared" si="1"/>
        <v>1287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39</v>
      </c>
      <c r="G25" s="38">
        <v>47</v>
      </c>
      <c r="H25" s="13"/>
      <c r="I25" s="40">
        <f>G25-F25</f>
        <v>8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22222</v>
      </c>
      <c r="G26" s="22">
        <v>23637</v>
      </c>
      <c r="H26" s="13"/>
      <c r="I26" s="17">
        <f t="shared" ref="I26:I28" si="2">G26-F26</f>
        <v>1415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1696</v>
      </c>
      <c r="K27" s="129">
        <f>I29*2+I30</f>
        <v>2489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14839</v>
      </c>
      <c r="G28" s="38">
        <v>16535</v>
      </c>
      <c r="H28" s="13"/>
      <c r="I28" s="39">
        <f t="shared" si="2"/>
        <v>1696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21953</v>
      </c>
      <c r="G30" s="22">
        <v>24442</v>
      </c>
      <c r="H30" s="13"/>
      <c r="I30" s="17">
        <f t="shared" ref="I30" si="3">G30-F30</f>
        <v>2489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14428</v>
      </c>
      <c r="G31" s="20">
        <v>14803</v>
      </c>
      <c r="H31" s="13"/>
      <c r="I31" s="15">
        <f t="shared" si="0"/>
        <v>375</v>
      </c>
      <c r="J31" s="128">
        <f>I31</f>
        <v>375</v>
      </c>
      <c r="K31" s="129">
        <f>I32</f>
        <v>892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21405</v>
      </c>
      <c r="G32" s="38">
        <v>22297</v>
      </c>
      <c r="H32" s="13"/>
      <c r="I32" s="40">
        <f t="shared" si="0"/>
        <v>892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9457</v>
      </c>
      <c r="G33" s="20">
        <v>10139</v>
      </c>
      <c r="H33" s="13"/>
      <c r="I33" s="15">
        <f t="shared" si="0"/>
        <v>682</v>
      </c>
      <c r="J33" s="128">
        <f>I33</f>
        <v>682</v>
      </c>
      <c r="K33" s="129">
        <f>I34</f>
        <v>979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28905</v>
      </c>
      <c r="G34" s="43">
        <v>29884</v>
      </c>
      <c r="H34" s="13"/>
      <c r="I34" s="60">
        <f t="shared" si="0"/>
        <v>979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2149</v>
      </c>
      <c r="G35" s="20">
        <v>2193</v>
      </c>
      <c r="H35" s="63"/>
      <c r="I35" s="15">
        <f t="shared" si="0"/>
        <v>44</v>
      </c>
      <c r="J35" s="128">
        <f>I35</f>
        <v>44</v>
      </c>
      <c r="K35" s="129">
        <f>I36</f>
        <v>673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5418</v>
      </c>
      <c r="G36" s="22">
        <v>6091</v>
      </c>
      <c r="H36" s="65"/>
      <c r="I36" s="66">
        <f t="shared" si="0"/>
        <v>673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2138</v>
      </c>
      <c r="G37" s="59">
        <v>2190</v>
      </c>
      <c r="H37" s="13"/>
      <c r="I37" s="61">
        <f t="shared" si="0"/>
        <v>52</v>
      </c>
      <c r="J37" s="118">
        <f>I37</f>
        <v>52</v>
      </c>
      <c r="K37" s="120">
        <f>I38</f>
        <v>78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3664</v>
      </c>
      <c r="G38" s="38">
        <v>3742</v>
      </c>
      <c r="H38" s="13"/>
      <c r="I38" s="40">
        <f t="shared" si="0"/>
        <v>78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0"/>
        <v>0</v>
      </c>
      <c r="J39" s="96">
        <f>I39*2+I40</f>
        <v>2090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88313</v>
      </c>
      <c r="G40" s="43">
        <v>90403</v>
      </c>
      <c r="H40" s="13"/>
      <c r="I40" s="44">
        <f>G40-F40</f>
        <v>2090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516</v>
      </c>
      <c r="G41" s="20">
        <v>526</v>
      </c>
      <c r="H41" s="13"/>
      <c r="I41" s="15">
        <f t="shared" si="0"/>
        <v>10</v>
      </c>
      <c r="J41" s="96">
        <f>I41*2+I42</f>
        <v>1268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56765</v>
      </c>
      <c r="G42" s="22">
        <v>58013</v>
      </c>
      <c r="H42" s="13"/>
      <c r="I42" s="17">
        <f t="shared" si="0"/>
        <v>1248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0"/>
        <v>0</v>
      </c>
      <c r="J43" s="96">
        <f>I43*2+I44</f>
        <v>644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26624</v>
      </c>
      <c r="G44" s="22">
        <v>27268</v>
      </c>
      <c r="H44" s="13"/>
      <c r="I44" s="17">
        <f t="shared" si="0"/>
        <v>644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0"/>
        <v>0</v>
      </c>
      <c r="J45" s="96">
        <f>I45*2+I46</f>
        <v>3555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101956</v>
      </c>
      <c r="G46" s="22">
        <v>105511</v>
      </c>
      <c r="H46" s="13"/>
      <c r="I46" s="17">
        <f t="shared" si="0"/>
        <v>3555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16991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14330</v>
      </c>
      <c r="G51" s="46">
        <v>8000</v>
      </c>
      <c r="I51" s="56">
        <f>+F51-G51</f>
        <v>6330</v>
      </c>
      <c r="J51" s="57">
        <v>50</v>
      </c>
      <c r="K51" s="58">
        <f>I51*J51</f>
        <v>316500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316500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1236500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222570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1459070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92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F5:L5"/>
    <mergeCell ref="A7:C7"/>
    <mergeCell ref="A8:C8"/>
    <mergeCell ref="I8:K8"/>
    <mergeCell ref="A9:C9"/>
    <mergeCell ref="I9:K9"/>
    <mergeCell ref="A10:C10"/>
    <mergeCell ref="I10:K10"/>
    <mergeCell ref="A13:A14"/>
    <mergeCell ref="B13:B14"/>
    <mergeCell ref="C13:C14"/>
    <mergeCell ref="E13:G13"/>
    <mergeCell ref="H13:H14"/>
    <mergeCell ref="I13:K13"/>
    <mergeCell ref="L13:L14"/>
    <mergeCell ref="A15:A18"/>
    <mergeCell ref="B15:B18"/>
    <mergeCell ref="C15:C18"/>
    <mergeCell ref="J15:J18"/>
    <mergeCell ref="K15:K18"/>
    <mergeCell ref="A23:A26"/>
    <mergeCell ref="B23:B26"/>
    <mergeCell ref="C23:C26"/>
    <mergeCell ref="J23:J26"/>
    <mergeCell ref="K23:K26"/>
    <mergeCell ref="A19:A22"/>
    <mergeCell ref="B19:B22"/>
    <mergeCell ref="C19:C22"/>
    <mergeCell ref="J19:J22"/>
    <mergeCell ref="K19:K22"/>
    <mergeCell ref="A31:A32"/>
    <mergeCell ref="B31:B32"/>
    <mergeCell ref="C31:C32"/>
    <mergeCell ref="J31:J32"/>
    <mergeCell ref="K31:K32"/>
    <mergeCell ref="A27:A30"/>
    <mergeCell ref="B27:B30"/>
    <mergeCell ref="C27:C30"/>
    <mergeCell ref="J27:J30"/>
    <mergeCell ref="K27:K30"/>
    <mergeCell ref="A35:A36"/>
    <mergeCell ref="B35:B36"/>
    <mergeCell ref="C35:C36"/>
    <mergeCell ref="J35:J36"/>
    <mergeCell ref="K35:K36"/>
    <mergeCell ref="A33:A34"/>
    <mergeCell ref="B33:B34"/>
    <mergeCell ref="C33:C34"/>
    <mergeCell ref="J33:J34"/>
    <mergeCell ref="K33:K34"/>
    <mergeCell ref="A39:A40"/>
    <mergeCell ref="B39:B40"/>
    <mergeCell ref="C39:C40"/>
    <mergeCell ref="J39:J40"/>
    <mergeCell ref="K39:K40"/>
    <mergeCell ref="A37:A38"/>
    <mergeCell ref="B37:B38"/>
    <mergeCell ref="C37:C38"/>
    <mergeCell ref="J37:J38"/>
    <mergeCell ref="K37:K38"/>
    <mergeCell ref="E48:F49"/>
    <mergeCell ref="G48:G49"/>
    <mergeCell ref="I48:K48"/>
    <mergeCell ref="A41:A42"/>
    <mergeCell ref="B41:B42"/>
    <mergeCell ref="C41:C42"/>
    <mergeCell ref="J41:J42"/>
    <mergeCell ref="K41:K42"/>
    <mergeCell ref="A43:A44"/>
    <mergeCell ref="B43:B44"/>
    <mergeCell ref="C43:C44"/>
    <mergeCell ref="J43:J44"/>
    <mergeCell ref="K43:K44"/>
    <mergeCell ref="A45:A46"/>
    <mergeCell ref="B45:B46"/>
    <mergeCell ref="C45:C46"/>
    <mergeCell ref="J45:J46"/>
    <mergeCell ref="K45:K46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84BD-01D1-464A-BDE2-0136A90C949F}">
  <sheetPr>
    <pageSetUpPr fitToPage="1"/>
  </sheetPr>
  <dimension ref="A1:L62"/>
  <sheetViews>
    <sheetView tabSelected="1" zoomScale="70" zoomScaleNormal="70" workbookViewId="0">
      <selection activeCell="K66" sqref="K66"/>
    </sheetView>
  </sheetViews>
  <sheetFormatPr baseColWidth="10" defaultRowHeight="16.5" x14ac:dyDescent="0.3"/>
  <cols>
    <col min="1" max="1" width="31.625" customWidth="1"/>
    <col min="2" max="2" width="40.125" customWidth="1"/>
    <col min="3" max="3" width="24.875" customWidth="1"/>
    <col min="4" max="4" width="1.375" customWidth="1"/>
    <col min="5" max="5" width="31.375" style="1" customWidth="1"/>
    <col min="6" max="7" width="23.125" style="1" customWidth="1"/>
    <col min="8" max="8" width="1.625" style="1" customWidth="1"/>
    <col min="9" max="9" width="22.125" style="1" customWidth="1"/>
    <col min="10" max="10" width="25.375" style="1" customWidth="1"/>
    <col min="11" max="11" width="23.75" style="1" customWidth="1"/>
    <col min="12" max="12" width="2" customWidth="1"/>
  </cols>
  <sheetData>
    <row r="1" spans="1:12" ht="30.75" customHeight="1" x14ac:dyDescent="0.3"/>
    <row r="2" spans="1:12" ht="30.75" customHeight="1" x14ac:dyDescent="0.3"/>
    <row r="3" spans="1:12" ht="30.75" customHeight="1" x14ac:dyDescent="0.3"/>
    <row r="4" spans="1:12" ht="30.75" customHeight="1" x14ac:dyDescent="0.3"/>
    <row r="5" spans="1:12" ht="39" customHeight="1" x14ac:dyDescent="0.3">
      <c r="E5" s="5"/>
      <c r="F5" s="152"/>
      <c r="G5" s="152"/>
      <c r="H5" s="152"/>
      <c r="I5" s="152"/>
      <c r="J5" s="152"/>
      <c r="K5" s="152"/>
      <c r="L5" s="152"/>
    </row>
    <row r="6" spans="1:12" ht="31.5" customHeight="1" thickBot="1" x14ac:dyDescent="0.35">
      <c r="F6" s="12"/>
      <c r="G6" s="12"/>
      <c r="H6" s="12"/>
      <c r="I6" s="12"/>
      <c r="J6" s="12"/>
      <c r="K6" s="12"/>
      <c r="L6" s="12"/>
    </row>
    <row r="7" spans="1:12" ht="32.25" customHeight="1" thickBot="1" x14ac:dyDescent="0.35">
      <c r="A7" s="153" t="s">
        <v>1</v>
      </c>
      <c r="B7" s="154"/>
      <c r="C7" s="155"/>
      <c r="E7" s="5"/>
      <c r="F7" s="5"/>
      <c r="G7" s="11"/>
    </row>
    <row r="8" spans="1:12" ht="51" customHeight="1" x14ac:dyDescent="0.3">
      <c r="A8" s="156" t="s">
        <v>57</v>
      </c>
      <c r="B8" s="157"/>
      <c r="C8" s="158"/>
      <c r="D8" s="10"/>
      <c r="E8" s="10"/>
      <c r="F8" s="29" t="s">
        <v>14</v>
      </c>
      <c r="G8" s="30"/>
      <c r="H8"/>
      <c r="I8" s="159" t="s">
        <v>93</v>
      </c>
      <c r="J8" s="160"/>
      <c r="K8" s="161"/>
    </row>
    <row r="9" spans="1:12" ht="51" customHeight="1" x14ac:dyDescent="0.3">
      <c r="A9" s="162" t="s">
        <v>54</v>
      </c>
      <c r="B9" s="163"/>
      <c r="C9" s="164"/>
      <c r="D9" s="9"/>
      <c r="E9" s="9"/>
      <c r="F9" s="31" t="s">
        <v>0</v>
      </c>
      <c r="G9" s="32"/>
      <c r="H9"/>
      <c r="I9" s="165" t="s">
        <v>53</v>
      </c>
      <c r="J9" s="166"/>
      <c r="K9" s="167"/>
    </row>
    <row r="10" spans="1:12" ht="51" customHeight="1" thickBot="1" x14ac:dyDescent="0.4">
      <c r="A10" s="135" t="s">
        <v>55</v>
      </c>
      <c r="B10" s="136"/>
      <c r="C10" s="137"/>
      <c r="D10" s="3"/>
      <c r="E10" s="3"/>
      <c r="F10" s="33" t="s">
        <v>23</v>
      </c>
      <c r="G10" s="34"/>
      <c r="H10"/>
      <c r="I10" s="138">
        <v>46299</v>
      </c>
      <c r="J10" s="139"/>
      <c r="K10" s="140"/>
    </row>
    <row r="11" spans="1:12" ht="18" customHeight="1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  <c r="K11" s="4"/>
    </row>
    <row r="12" spans="1:12" ht="20.25" customHeight="1" thickBot="1" x14ac:dyDescent="0.35">
      <c r="D12" s="7"/>
    </row>
    <row r="13" spans="1:12" s="28" customFormat="1" ht="66" customHeight="1" x14ac:dyDescent="0.35">
      <c r="A13" s="141" t="s">
        <v>31</v>
      </c>
      <c r="B13" s="141" t="s">
        <v>2</v>
      </c>
      <c r="C13" s="143" t="s">
        <v>3</v>
      </c>
      <c r="D13" s="27"/>
      <c r="E13" s="145" t="s">
        <v>13</v>
      </c>
      <c r="F13" s="146"/>
      <c r="G13" s="147"/>
      <c r="H13" s="148"/>
      <c r="I13" s="149" t="s">
        <v>12</v>
      </c>
      <c r="J13" s="150"/>
      <c r="K13" s="151"/>
      <c r="L13" s="134"/>
    </row>
    <row r="14" spans="1:12" s="28" customFormat="1" ht="69" customHeight="1" thickBot="1" x14ac:dyDescent="0.4">
      <c r="A14" s="142"/>
      <c r="B14" s="142"/>
      <c r="C14" s="144"/>
      <c r="D14" s="27"/>
      <c r="E14" s="35" t="s">
        <v>10</v>
      </c>
      <c r="F14" s="36" t="s">
        <v>89</v>
      </c>
      <c r="G14" s="36" t="s">
        <v>90</v>
      </c>
      <c r="H14" s="148"/>
      <c r="I14" s="50" t="s">
        <v>9</v>
      </c>
      <c r="J14" s="51" t="s">
        <v>48</v>
      </c>
      <c r="K14" s="52" t="s">
        <v>49</v>
      </c>
      <c r="L14" s="134"/>
    </row>
    <row r="15" spans="1:12" s="2" customFormat="1" ht="36" customHeight="1" x14ac:dyDescent="0.25">
      <c r="A15" s="122" t="s">
        <v>32</v>
      </c>
      <c r="B15" s="92" t="s">
        <v>24</v>
      </c>
      <c r="C15" s="127" t="s">
        <v>26</v>
      </c>
      <c r="D15" s="18"/>
      <c r="E15" s="19" t="s">
        <v>27</v>
      </c>
      <c r="F15" s="20">
        <v>569</v>
      </c>
      <c r="G15" s="20">
        <v>571</v>
      </c>
      <c r="H15" s="13"/>
      <c r="I15" s="15">
        <f t="shared" ref="I15:I21" si="0">G15-F15</f>
        <v>2</v>
      </c>
      <c r="J15" s="131">
        <f>I15*2+I16</f>
        <v>3399</v>
      </c>
      <c r="K15" s="129">
        <f>I17*2+I18</f>
        <v>4290</v>
      </c>
      <c r="L15" s="16"/>
    </row>
    <row r="16" spans="1:12" s="2" customFormat="1" ht="36" customHeight="1" x14ac:dyDescent="0.25">
      <c r="A16" s="114"/>
      <c r="B16" s="110"/>
      <c r="C16" s="116"/>
      <c r="D16" s="18"/>
      <c r="E16" s="37" t="s">
        <v>28</v>
      </c>
      <c r="F16" s="38">
        <v>91411</v>
      </c>
      <c r="G16" s="38">
        <v>94806</v>
      </c>
      <c r="H16" s="13"/>
      <c r="I16" s="39">
        <f t="shared" si="0"/>
        <v>3395</v>
      </c>
      <c r="J16" s="132"/>
      <c r="K16" s="120"/>
      <c r="L16" s="16"/>
    </row>
    <row r="17" spans="1:12" s="2" customFormat="1" ht="36" customHeight="1" x14ac:dyDescent="0.25">
      <c r="A17" s="114"/>
      <c r="B17" s="110"/>
      <c r="C17" s="116"/>
      <c r="D17" s="18"/>
      <c r="E17" s="37" t="s">
        <v>51</v>
      </c>
      <c r="F17" s="38">
        <v>468</v>
      </c>
      <c r="G17" s="38">
        <v>469</v>
      </c>
      <c r="H17" s="13"/>
      <c r="I17" s="40">
        <f t="shared" si="0"/>
        <v>1</v>
      </c>
      <c r="J17" s="132"/>
      <c r="K17" s="120"/>
      <c r="L17" s="16"/>
    </row>
    <row r="18" spans="1:12" s="2" customFormat="1" ht="36" customHeight="1" thickBot="1" x14ac:dyDescent="0.3">
      <c r="A18" s="130"/>
      <c r="B18" s="93"/>
      <c r="C18" s="117"/>
      <c r="D18" s="18"/>
      <c r="E18" s="21" t="s">
        <v>52</v>
      </c>
      <c r="F18" s="22">
        <v>102177</v>
      </c>
      <c r="G18" s="22">
        <v>106465</v>
      </c>
      <c r="H18" s="13"/>
      <c r="I18" s="17">
        <f t="shared" si="0"/>
        <v>4288</v>
      </c>
      <c r="J18" s="133"/>
      <c r="K18" s="121"/>
      <c r="L18" s="16"/>
    </row>
    <row r="19" spans="1:12" s="2" customFormat="1" ht="36" customHeight="1" x14ac:dyDescent="0.25">
      <c r="A19" s="122" t="s">
        <v>67</v>
      </c>
      <c r="B19" s="92" t="s">
        <v>65</v>
      </c>
      <c r="C19" s="127" t="s">
        <v>66</v>
      </c>
      <c r="D19" s="18"/>
      <c r="E19" s="19" t="s">
        <v>27</v>
      </c>
      <c r="F19" s="20">
        <v>73</v>
      </c>
      <c r="G19" s="20">
        <v>73</v>
      </c>
      <c r="H19" s="13"/>
      <c r="I19" s="15">
        <f t="shared" si="0"/>
        <v>0</v>
      </c>
      <c r="J19" s="131">
        <f>I19*2+I20</f>
        <v>551</v>
      </c>
      <c r="K19" s="129">
        <f>I21*2+I22</f>
        <v>2866</v>
      </c>
      <c r="L19" s="16"/>
    </row>
    <row r="20" spans="1:12" s="2" customFormat="1" ht="36" customHeight="1" x14ac:dyDescent="0.25">
      <c r="A20" s="114"/>
      <c r="B20" s="110"/>
      <c r="C20" s="116"/>
      <c r="D20" s="18"/>
      <c r="E20" s="37" t="s">
        <v>28</v>
      </c>
      <c r="F20" s="38">
        <v>8779</v>
      </c>
      <c r="G20" s="38">
        <v>9330</v>
      </c>
      <c r="H20" s="13"/>
      <c r="I20" s="39">
        <f t="shared" si="0"/>
        <v>551</v>
      </c>
      <c r="J20" s="132"/>
      <c r="K20" s="120"/>
      <c r="L20" s="16"/>
    </row>
    <row r="21" spans="1:12" s="2" customFormat="1" ht="36" customHeight="1" x14ac:dyDescent="0.25">
      <c r="A21" s="114"/>
      <c r="B21" s="110"/>
      <c r="C21" s="116"/>
      <c r="D21" s="18"/>
      <c r="E21" s="37" t="s">
        <v>51</v>
      </c>
      <c r="F21" s="38">
        <v>276</v>
      </c>
      <c r="G21" s="38">
        <v>318</v>
      </c>
      <c r="H21" s="13"/>
      <c r="I21" s="40">
        <f t="shared" si="0"/>
        <v>42</v>
      </c>
      <c r="J21" s="132"/>
      <c r="K21" s="120"/>
      <c r="L21" s="16"/>
    </row>
    <row r="22" spans="1:12" s="2" customFormat="1" ht="36" customHeight="1" thickBot="1" x14ac:dyDescent="0.3">
      <c r="A22" s="130"/>
      <c r="B22" s="93"/>
      <c r="C22" s="117"/>
      <c r="D22" s="18"/>
      <c r="E22" s="21" t="s">
        <v>52</v>
      </c>
      <c r="F22" s="22">
        <v>26789</v>
      </c>
      <c r="G22" s="22">
        <v>29571</v>
      </c>
      <c r="H22" s="13"/>
      <c r="I22" s="17">
        <f t="shared" ref="I22:I24" si="1">G22-F22</f>
        <v>2782</v>
      </c>
      <c r="J22" s="133"/>
      <c r="K22" s="121"/>
      <c r="L22" s="16"/>
    </row>
    <row r="23" spans="1:12" s="2" customFormat="1" ht="36" customHeight="1" x14ac:dyDescent="0.25">
      <c r="A23" s="122" t="s">
        <v>68</v>
      </c>
      <c r="B23" s="92" t="s">
        <v>65</v>
      </c>
      <c r="C23" s="127" t="s">
        <v>69</v>
      </c>
      <c r="D23" s="18"/>
      <c r="E23" s="19" t="s">
        <v>27</v>
      </c>
      <c r="F23" s="20">
        <v>156</v>
      </c>
      <c r="G23" s="20">
        <v>156</v>
      </c>
      <c r="H23" s="13"/>
      <c r="I23" s="15">
        <f t="shared" si="1"/>
        <v>0</v>
      </c>
      <c r="J23" s="131">
        <f>I23*2+I24</f>
        <v>1418</v>
      </c>
      <c r="K23" s="129">
        <f>I25*2+I26</f>
        <v>775</v>
      </c>
      <c r="L23" s="16"/>
    </row>
    <row r="24" spans="1:12" s="2" customFormat="1" ht="36" customHeight="1" x14ac:dyDescent="0.25">
      <c r="A24" s="114"/>
      <c r="B24" s="110"/>
      <c r="C24" s="116"/>
      <c r="D24" s="18"/>
      <c r="E24" s="37" t="s">
        <v>28</v>
      </c>
      <c r="F24" s="38">
        <v>15254</v>
      </c>
      <c r="G24" s="38">
        <v>16672</v>
      </c>
      <c r="H24" s="13"/>
      <c r="I24" s="39">
        <f t="shared" si="1"/>
        <v>1418</v>
      </c>
      <c r="J24" s="132"/>
      <c r="K24" s="120"/>
      <c r="L24" s="16"/>
    </row>
    <row r="25" spans="1:12" s="2" customFormat="1" ht="36" customHeight="1" x14ac:dyDescent="0.25">
      <c r="A25" s="114"/>
      <c r="B25" s="110"/>
      <c r="C25" s="116"/>
      <c r="D25" s="18"/>
      <c r="E25" s="37" t="s">
        <v>51</v>
      </c>
      <c r="F25" s="38">
        <v>47</v>
      </c>
      <c r="G25" s="38">
        <v>47</v>
      </c>
      <c r="H25" s="13"/>
      <c r="I25" s="40">
        <f>G25-F25</f>
        <v>0</v>
      </c>
      <c r="J25" s="132"/>
      <c r="K25" s="120"/>
      <c r="L25" s="16"/>
    </row>
    <row r="26" spans="1:12" s="2" customFormat="1" ht="36" customHeight="1" thickBot="1" x14ac:dyDescent="0.3">
      <c r="A26" s="130"/>
      <c r="B26" s="93"/>
      <c r="C26" s="117"/>
      <c r="D26" s="18"/>
      <c r="E26" s="21" t="s">
        <v>52</v>
      </c>
      <c r="F26" s="22">
        <v>23637</v>
      </c>
      <c r="G26" s="22">
        <v>24412</v>
      </c>
      <c r="H26" s="13"/>
      <c r="I26" s="17">
        <f t="shared" ref="I26:I28" si="2">G26-F26</f>
        <v>775</v>
      </c>
      <c r="J26" s="133"/>
      <c r="K26" s="121"/>
      <c r="L26" s="16"/>
    </row>
    <row r="27" spans="1:12" s="2" customFormat="1" ht="36" customHeight="1" x14ac:dyDescent="0.25">
      <c r="A27" s="122" t="s">
        <v>72</v>
      </c>
      <c r="B27" s="92" t="s">
        <v>65</v>
      </c>
      <c r="C27" s="127" t="s">
        <v>70</v>
      </c>
      <c r="D27" s="18"/>
      <c r="E27" s="19" t="s">
        <v>27</v>
      </c>
      <c r="F27" s="20">
        <v>3</v>
      </c>
      <c r="G27" s="20">
        <v>3</v>
      </c>
      <c r="H27" s="13"/>
      <c r="I27" s="15">
        <f t="shared" si="2"/>
        <v>0</v>
      </c>
      <c r="J27" s="131">
        <f>I27*2+I28</f>
        <v>1440</v>
      </c>
      <c r="K27" s="129">
        <f>I29*2+I30</f>
        <v>2631</v>
      </c>
      <c r="L27" s="16"/>
    </row>
    <row r="28" spans="1:12" s="2" customFormat="1" ht="36" customHeight="1" x14ac:dyDescent="0.25">
      <c r="A28" s="114"/>
      <c r="B28" s="110"/>
      <c r="C28" s="116"/>
      <c r="D28" s="18"/>
      <c r="E28" s="37" t="s">
        <v>28</v>
      </c>
      <c r="F28" s="38">
        <v>16535</v>
      </c>
      <c r="G28" s="38">
        <v>17975</v>
      </c>
      <c r="H28" s="13"/>
      <c r="I28" s="39">
        <f t="shared" si="2"/>
        <v>1440</v>
      </c>
      <c r="J28" s="132"/>
      <c r="K28" s="120"/>
      <c r="L28" s="16"/>
    </row>
    <row r="29" spans="1:12" s="2" customFormat="1" ht="36" customHeight="1" x14ac:dyDescent="0.25">
      <c r="A29" s="114"/>
      <c r="B29" s="110"/>
      <c r="C29" s="116"/>
      <c r="D29" s="18"/>
      <c r="E29" s="37" t="s">
        <v>51</v>
      </c>
      <c r="F29" s="38">
        <v>10</v>
      </c>
      <c r="G29" s="38">
        <v>10</v>
      </c>
      <c r="H29" s="13"/>
      <c r="I29" s="40">
        <f>G29-F29</f>
        <v>0</v>
      </c>
      <c r="J29" s="132"/>
      <c r="K29" s="120"/>
      <c r="L29" s="16"/>
    </row>
    <row r="30" spans="1:12" s="2" customFormat="1" ht="36" customHeight="1" thickBot="1" x14ac:dyDescent="0.3">
      <c r="A30" s="130"/>
      <c r="B30" s="93"/>
      <c r="C30" s="117"/>
      <c r="D30" s="18"/>
      <c r="E30" s="21" t="s">
        <v>52</v>
      </c>
      <c r="F30" s="22">
        <v>24442</v>
      </c>
      <c r="G30" s="22">
        <v>27073</v>
      </c>
      <c r="H30" s="13"/>
      <c r="I30" s="17">
        <f t="shared" ref="I30" si="3">G30-F30</f>
        <v>2631</v>
      </c>
      <c r="J30" s="133"/>
      <c r="K30" s="121"/>
      <c r="L30" s="16"/>
    </row>
    <row r="31" spans="1:12" s="2" customFormat="1" ht="36" customHeight="1" x14ac:dyDescent="0.25">
      <c r="A31" s="122" t="s">
        <v>33</v>
      </c>
      <c r="B31" s="92" t="s">
        <v>25</v>
      </c>
      <c r="C31" s="127" t="s">
        <v>34</v>
      </c>
      <c r="D31" s="18"/>
      <c r="E31" s="37" t="s">
        <v>28</v>
      </c>
      <c r="F31" s="20">
        <v>14803</v>
      </c>
      <c r="G31" s="20">
        <v>15114</v>
      </c>
      <c r="H31" s="13"/>
      <c r="I31" s="15">
        <f t="shared" ref="I31:I46" si="4">G31-F31</f>
        <v>311</v>
      </c>
      <c r="J31" s="128">
        <f>I31</f>
        <v>311</v>
      </c>
      <c r="K31" s="129">
        <f>I32</f>
        <v>962</v>
      </c>
      <c r="L31" s="16"/>
    </row>
    <row r="32" spans="1:12" s="2" customFormat="1" ht="36" customHeight="1" thickBot="1" x14ac:dyDescent="0.3">
      <c r="A32" s="114"/>
      <c r="B32" s="110"/>
      <c r="C32" s="117"/>
      <c r="D32" s="18"/>
      <c r="E32" s="21" t="s">
        <v>52</v>
      </c>
      <c r="F32" s="38">
        <v>22297</v>
      </c>
      <c r="G32" s="38">
        <v>23259</v>
      </c>
      <c r="H32" s="13"/>
      <c r="I32" s="40">
        <f t="shared" si="4"/>
        <v>962</v>
      </c>
      <c r="J32" s="119"/>
      <c r="K32" s="121"/>
      <c r="L32" s="16"/>
    </row>
    <row r="33" spans="1:12" s="2" customFormat="1" ht="36" customHeight="1" x14ac:dyDescent="0.25">
      <c r="A33" s="122" t="s">
        <v>35</v>
      </c>
      <c r="B33" s="92" t="s">
        <v>25</v>
      </c>
      <c r="C33" s="127" t="s">
        <v>36</v>
      </c>
      <c r="D33" s="18"/>
      <c r="E33" s="19" t="s">
        <v>28</v>
      </c>
      <c r="F33" s="20">
        <v>10139</v>
      </c>
      <c r="G33" s="20">
        <v>10533</v>
      </c>
      <c r="H33" s="13"/>
      <c r="I33" s="15">
        <f t="shared" si="4"/>
        <v>394</v>
      </c>
      <c r="J33" s="128">
        <f>I33</f>
        <v>394</v>
      </c>
      <c r="K33" s="129">
        <f>I34</f>
        <v>1287</v>
      </c>
      <c r="L33" s="16"/>
    </row>
    <row r="34" spans="1:12" s="2" customFormat="1" ht="36" customHeight="1" thickBot="1" x14ac:dyDescent="0.3">
      <c r="A34" s="125"/>
      <c r="B34" s="126"/>
      <c r="C34" s="116"/>
      <c r="D34" s="18"/>
      <c r="E34" s="42" t="s">
        <v>52</v>
      </c>
      <c r="F34" s="43">
        <v>29884</v>
      </c>
      <c r="G34" s="43">
        <v>31171</v>
      </c>
      <c r="H34" s="13"/>
      <c r="I34" s="60">
        <f t="shared" si="4"/>
        <v>1287</v>
      </c>
      <c r="J34" s="118"/>
      <c r="K34" s="120"/>
      <c r="L34" s="16"/>
    </row>
    <row r="35" spans="1:12" s="2" customFormat="1" ht="36" customHeight="1" x14ac:dyDescent="0.25">
      <c r="A35" s="122" t="s">
        <v>37</v>
      </c>
      <c r="B35" s="92" t="s">
        <v>25</v>
      </c>
      <c r="C35" s="127" t="s">
        <v>56</v>
      </c>
      <c r="D35" s="62"/>
      <c r="E35" s="19" t="s">
        <v>29</v>
      </c>
      <c r="F35" s="20">
        <v>2193</v>
      </c>
      <c r="G35" s="20">
        <v>2212</v>
      </c>
      <c r="H35" s="63"/>
      <c r="I35" s="15">
        <f t="shared" si="4"/>
        <v>19</v>
      </c>
      <c r="J35" s="128">
        <f>I35</f>
        <v>19</v>
      </c>
      <c r="K35" s="129">
        <f>I36</f>
        <v>881</v>
      </c>
      <c r="L35" s="16"/>
    </row>
    <row r="36" spans="1:12" s="2" customFormat="1" ht="36" customHeight="1" thickBot="1" x14ac:dyDescent="0.3">
      <c r="A36" s="130"/>
      <c r="B36" s="93"/>
      <c r="C36" s="117"/>
      <c r="D36" s="64"/>
      <c r="E36" s="21" t="s">
        <v>52</v>
      </c>
      <c r="F36" s="22">
        <v>6091</v>
      </c>
      <c r="G36" s="22">
        <v>6972</v>
      </c>
      <c r="H36" s="65"/>
      <c r="I36" s="66">
        <f t="shared" si="4"/>
        <v>881</v>
      </c>
      <c r="J36" s="119"/>
      <c r="K36" s="121"/>
      <c r="L36" s="16"/>
    </row>
    <row r="37" spans="1:12" s="2" customFormat="1" ht="36" customHeight="1" x14ac:dyDescent="0.25">
      <c r="A37" s="113" t="s">
        <v>71</v>
      </c>
      <c r="B37" s="115" t="s">
        <v>25</v>
      </c>
      <c r="C37" s="116" t="s">
        <v>75</v>
      </c>
      <c r="D37" s="18"/>
      <c r="E37" s="47" t="s">
        <v>29</v>
      </c>
      <c r="F37" s="59">
        <v>2190</v>
      </c>
      <c r="G37" s="59">
        <v>2488</v>
      </c>
      <c r="H37" s="13"/>
      <c r="I37" s="61">
        <f t="shared" si="4"/>
        <v>298</v>
      </c>
      <c r="J37" s="118">
        <f>I37</f>
        <v>298</v>
      </c>
      <c r="K37" s="120">
        <f>I38</f>
        <v>3632</v>
      </c>
      <c r="L37" s="16"/>
    </row>
    <row r="38" spans="1:12" s="2" customFormat="1" ht="36" customHeight="1" thickBot="1" x14ac:dyDescent="0.3">
      <c r="A38" s="114"/>
      <c r="B38" s="110"/>
      <c r="C38" s="117"/>
      <c r="D38" s="18"/>
      <c r="E38" s="37" t="s">
        <v>52</v>
      </c>
      <c r="F38" s="38">
        <v>3742</v>
      </c>
      <c r="G38" s="38">
        <v>7374</v>
      </c>
      <c r="H38" s="13"/>
      <c r="I38" s="40">
        <f t="shared" si="4"/>
        <v>3632</v>
      </c>
      <c r="J38" s="119"/>
      <c r="K38" s="121"/>
      <c r="L38" s="16"/>
    </row>
    <row r="39" spans="1:12" s="2" customFormat="1" ht="36" customHeight="1" x14ac:dyDescent="0.25">
      <c r="A39" s="122" t="s">
        <v>40</v>
      </c>
      <c r="B39" s="92" t="s">
        <v>38</v>
      </c>
      <c r="C39" s="94" t="s">
        <v>41</v>
      </c>
      <c r="D39" s="18"/>
      <c r="E39" s="19" t="s">
        <v>27</v>
      </c>
      <c r="F39" s="20">
        <v>27</v>
      </c>
      <c r="G39" s="20">
        <v>27</v>
      </c>
      <c r="H39" s="13"/>
      <c r="I39" s="15">
        <f t="shared" si="4"/>
        <v>0</v>
      </c>
      <c r="J39" s="96">
        <f>I39*2+I40</f>
        <v>3562</v>
      </c>
      <c r="K39" s="98"/>
      <c r="L39" s="16"/>
    </row>
    <row r="40" spans="1:12" s="2" customFormat="1" ht="36" customHeight="1" thickBot="1" x14ac:dyDescent="0.3">
      <c r="A40" s="114"/>
      <c r="B40" s="110"/>
      <c r="C40" s="95"/>
      <c r="D40" s="18"/>
      <c r="E40" s="42" t="s">
        <v>29</v>
      </c>
      <c r="F40" s="43">
        <v>90403</v>
      </c>
      <c r="G40" s="43">
        <v>93965</v>
      </c>
      <c r="H40" s="13"/>
      <c r="I40" s="44">
        <f t="shared" si="4"/>
        <v>3562</v>
      </c>
      <c r="J40" s="123"/>
      <c r="K40" s="124"/>
      <c r="L40" s="16"/>
    </row>
    <row r="41" spans="1:12" s="2" customFormat="1" ht="36" customHeight="1" x14ac:dyDescent="0.25">
      <c r="A41" s="109" t="s">
        <v>42</v>
      </c>
      <c r="B41" s="92" t="s">
        <v>38</v>
      </c>
      <c r="C41" s="111" t="s">
        <v>43</v>
      </c>
      <c r="D41" s="18"/>
      <c r="E41" s="19" t="s">
        <v>27</v>
      </c>
      <c r="F41" s="20">
        <v>526</v>
      </c>
      <c r="G41" s="20">
        <v>533</v>
      </c>
      <c r="H41" s="13"/>
      <c r="I41" s="15">
        <f t="shared" si="4"/>
        <v>7</v>
      </c>
      <c r="J41" s="96">
        <f>I41*2+I42</f>
        <v>1789</v>
      </c>
      <c r="K41" s="98"/>
      <c r="L41" s="16"/>
    </row>
    <row r="42" spans="1:12" s="2" customFormat="1" ht="36" customHeight="1" thickBot="1" x14ac:dyDescent="0.3">
      <c r="A42" s="91"/>
      <c r="B42" s="110"/>
      <c r="C42" s="112"/>
      <c r="D42" s="18"/>
      <c r="E42" s="42" t="s">
        <v>29</v>
      </c>
      <c r="F42" s="22">
        <v>58013</v>
      </c>
      <c r="G42" s="22">
        <v>59788</v>
      </c>
      <c r="H42" s="13"/>
      <c r="I42" s="17">
        <f t="shared" si="4"/>
        <v>1775</v>
      </c>
      <c r="J42" s="97"/>
      <c r="K42" s="99"/>
      <c r="L42" s="16"/>
    </row>
    <row r="43" spans="1:12" s="2" customFormat="1" ht="36" customHeight="1" x14ac:dyDescent="0.25">
      <c r="A43" s="109" t="s">
        <v>44</v>
      </c>
      <c r="B43" s="92" t="s">
        <v>38</v>
      </c>
      <c r="C43" s="94" t="s">
        <v>45</v>
      </c>
      <c r="D43" s="18"/>
      <c r="E43" s="19" t="s">
        <v>30</v>
      </c>
      <c r="F43" s="20">
        <v>162</v>
      </c>
      <c r="G43" s="20">
        <v>162</v>
      </c>
      <c r="H43" s="13"/>
      <c r="I43" s="15">
        <f t="shared" si="4"/>
        <v>0</v>
      </c>
      <c r="J43" s="96">
        <f>I43*2+I44</f>
        <v>821</v>
      </c>
      <c r="K43" s="98"/>
      <c r="L43" s="16"/>
    </row>
    <row r="44" spans="1:12" s="2" customFormat="1" ht="36" customHeight="1" thickBot="1" x14ac:dyDescent="0.3">
      <c r="A44" s="91"/>
      <c r="B44" s="110"/>
      <c r="C44" s="95"/>
      <c r="D44" s="18"/>
      <c r="E44" s="42" t="s">
        <v>29</v>
      </c>
      <c r="F44" s="22">
        <v>27268</v>
      </c>
      <c r="G44" s="22">
        <v>28089</v>
      </c>
      <c r="H44" s="13"/>
      <c r="I44" s="17">
        <f t="shared" si="4"/>
        <v>821</v>
      </c>
      <c r="J44" s="97"/>
      <c r="K44" s="99"/>
      <c r="L44" s="16"/>
    </row>
    <row r="45" spans="1:12" s="2" customFormat="1" ht="36" customHeight="1" x14ac:dyDescent="0.25">
      <c r="A45" s="90" t="s">
        <v>46</v>
      </c>
      <c r="B45" s="92" t="s">
        <v>39</v>
      </c>
      <c r="C45" s="94" t="s">
        <v>47</v>
      </c>
      <c r="D45" s="18"/>
      <c r="E45" s="19" t="s">
        <v>27</v>
      </c>
      <c r="F45" s="20">
        <v>14</v>
      </c>
      <c r="G45" s="20">
        <v>14</v>
      </c>
      <c r="H45" s="13"/>
      <c r="I45" s="15">
        <f t="shared" si="4"/>
        <v>0</v>
      </c>
      <c r="J45" s="96">
        <f>I45*2+I46</f>
        <v>4308</v>
      </c>
      <c r="K45" s="98"/>
      <c r="L45" s="16"/>
    </row>
    <row r="46" spans="1:12" s="2" customFormat="1" ht="36" customHeight="1" thickBot="1" x14ac:dyDescent="0.3">
      <c r="A46" s="91"/>
      <c r="B46" s="93"/>
      <c r="C46" s="95"/>
      <c r="D46" s="18"/>
      <c r="E46" s="21" t="s">
        <v>28</v>
      </c>
      <c r="F46" s="22">
        <v>105511</v>
      </c>
      <c r="G46" s="22">
        <v>109819</v>
      </c>
      <c r="H46" s="13"/>
      <c r="I46" s="17">
        <f t="shared" si="4"/>
        <v>4308</v>
      </c>
      <c r="J46" s="97"/>
      <c r="K46" s="99"/>
      <c r="L46" s="16"/>
    </row>
    <row r="47" spans="1:12" ht="18" customHeight="1" thickBot="1" x14ac:dyDescent="0.35">
      <c r="H47" s="14"/>
      <c r="I47" s="14"/>
      <c r="J47" s="14"/>
      <c r="K47" s="14"/>
      <c r="L47" s="14"/>
    </row>
    <row r="48" spans="1:12" ht="24.75" customHeight="1" x14ac:dyDescent="0.3">
      <c r="E48" s="100" t="s">
        <v>50</v>
      </c>
      <c r="F48" s="101"/>
      <c r="G48" s="104" t="s">
        <v>11</v>
      </c>
      <c r="H48" s="14"/>
      <c r="I48" s="106" t="s">
        <v>8</v>
      </c>
      <c r="J48" s="107"/>
      <c r="K48" s="108"/>
      <c r="L48" s="14"/>
    </row>
    <row r="49" spans="5:12" ht="53.25" customHeight="1" thickBot="1" x14ac:dyDescent="0.35">
      <c r="E49" s="102"/>
      <c r="F49" s="103"/>
      <c r="G49" s="105"/>
      <c r="H49" s="14"/>
      <c r="I49" s="35" t="s">
        <v>17</v>
      </c>
      <c r="J49" s="41" t="s">
        <v>18</v>
      </c>
      <c r="K49" s="36" t="s">
        <v>21</v>
      </c>
      <c r="L49" s="14"/>
    </row>
    <row r="50" spans="5:12" ht="30" customHeight="1" x14ac:dyDescent="0.35">
      <c r="E50" s="47" t="s">
        <v>6</v>
      </c>
      <c r="F50" s="48">
        <f>J15+J19+J23+J27+J31+J33+J35+J37+J39+J41+J43+J45</f>
        <v>18310</v>
      </c>
      <c r="G50" s="49">
        <v>52000</v>
      </c>
      <c r="I50" s="53"/>
      <c r="J50" s="54">
        <v>10</v>
      </c>
      <c r="K50" s="55">
        <f>J50*I50</f>
        <v>0</v>
      </c>
    </row>
    <row r="51" spans="5:12" ht="30" customHeight="1" thickBot="1" x14ac:dyDescent="0.4">
      <c r="E51" s="21" t="s">
        <v>7</v>
      </c>
      <c r="F51" s="45">
        <f>K15+K19+K23+K27+K31+K33+K35+K37</f>
        <v>17324</v>
      </c>
      <c r="G51" s="46">
        <v>8000</v>
      </c>
      <c r="I51" s="56">
        <f>+F51-G51</f>
        <v>9324</v>
      </c>
      <c r="J51" s="57">
        <v>50</v>
      </c>
      <c r="K51" s="58">
        <f>I51*J51</f>
        <v>466200</v>
      </c>
    </row>
    <row r="52" spans="5:12" ht="17.25" thickBot="1" x14ac:dyDescent="0.35"/>
    <row r="53" spans="5:12" ht="29.25" x14ac:dyDescent="0.3">
      <c r="E53" s="79" t="s">
        <v>19</v>
      </c>
      <c r="F53" s="80"/>
      <c r="G53" s="80"/>
      <c r="I53" s="81">
        <v>920000</v>
      </c>
      <c r="J53" s="81"/>
      <c r="K53" s="23" t="s">
        <v>4</v>
      </c>
    </row>
    <row r="54" spans="5:12" ht="30" thickBot="1" x14ac:dyDescent="0.35">
      <c r="E54" s="82" t="s">
        <v>20</v>
      </c>
      <c r="F54" s="83"/>
      <c r="G54" s="83"/>
      <c r="I54" s="84">
        <f>K50+K51</f>
        <v>466200</v>
      </c>
      <c r="J54" s="84"/>
      <c r="K54" s="26" t="s">
        <v>4</v>
      </c>
    </row>
    <row r="55" spans="5:12" ht="19.5" thickBot="1" x14ac:dyDescent="0.35">
      <c r="E55" s="8"/>
      <c r="F55" s="8"/>
      <c r="G55" s="8"/>
      <c r="I55" s="6"/>
      <c r="J55" s="6"/>
      <c r="K55" s="6"/>
    </row>
    <row r="56" spans="5:12" ht="29.25" x14ac:dyDescent="0.3">
      <c r="E56" s="85" t="s">
        <v>5</v>
      </c>
      <c r="F56" s="86"/>
      <c r="G56" s="87"/>
      <c r="I56" s="88">
        <f>I53+I54</f>
        <v>1386200</v>
      </c>
      <c r="J56" s="89"/>
      <c r="K56" s="23" t="s">
        <v>4</v>
      </c>
    </row>
    <row r="57" spans="5:12" ht="30" x14ac:dyDescent="0.3">
      <c r="E57" s="67" t="s">
        <v>15</v>
      </c>
      <c r="F57" s="68"/>
      <c r="G57" s="69"/>
      <c r="I57" s="70">
        <f>I56*0.18</f>
        <v>249516</v>
      </c>
      <c r="J57" s="71"/>
      <c r="K57" s="24" t="s">
        <v>4</v>
      </c>
    </row>
    <row r="58" spans="5:12" ht="30.75" thickBot="1" x14ac:dyDescent="0.35">
      <c r="E58" s="72" t="s">
        <v>22</v>
      </c>
      <c r="F58" s="73"/>
      <c r="G58" s="74"/>
      <c r="I58" s="75">
        <f>I56+I57</f>
        <v>1635716</v>
      </c>
      <c r="J58" s="76"/>
      <c r="K58" s="25" t="s">
        <v>4</v>
      </c>
    </row>
    <row r="60" spans="5:12" ht="34.5" x14ac:dyDescent="0.3">
      <c r="E60" s="77" t="s">
        <v>16</v>
      </c>
      <c r="F60" s="77"/>
      <c r="G60" s="77"/>
      <c r="H60" s="77"/>
      <c r="I60" s="77"/>
      <c r="J60" s="77"/>
      <c r="K60" s="77"/>
      <c r="L60" s="77"/>
    </row>
    <row r="61" spans="5:12" ht="36" customHeight="1" x14ac:dyDescent="0.3">
      <c r="E61" s="78" t="s">
        <v>94</v>
      </c>
      <c r="F61" s="78"/>
      <c r="G61" s="78"/>
      <c r="H61" s="78"/>
      <c r="I61" s="78"/>
      <c r="J61" s="78"/>
      <c r="K61" s="78"/>
      <c r="L61" s="78"/>
    </row>
    <row r="62" spans="5:12" ht="36" customHeight="1" x14ac:dyDescent="0.3">
      <c r="E62" s="78"/>
      <c r="F62" s="78"/>
      <c r="G62" s="78"/>
      <c r="H62" s="78"/>
      <c r="I62" s="78"/>
      <c r="J62" s="78"/>
      <c r="K62" s="78"/>
      <c r="L62" s="78"/>
    </row>
  </sheetData>
  <mergeCells count="90">
    <mergeCell ref="J45:J46"/>
    <mergeCell ref="K45:K46"/>
    <mergeCell ref="E61:L62"/>
    <mergeCell ref="E53:G53"/>
    <mergeCell ref="I53:J53"/>
    <mergeCell ref="E54:G54"/>
    <mergeCell ref="I54:J54"/>
    <mergeCell ref="E56:G56"/>
    <mergeCell ref="I56:J56"/>
    <mergeCell ref="E57:G57"/>
    <mergeCell ref="I57:J57"/>
    <mergeCell ref="E58:G58"/>
    <mergeCell ref="I58:J58"/>
    <mergeCell ref="E60:L60"/>
    <mergeCell ref="E48:F49"/>
    <mergeCell ref="G48:G49"/>
    <mergeCell ref="I48:K48"/>
    <mergeCell ref="A41:A42"/>
    <mergeCell ref="B41:B42"/>
    <mergeCell ref="C41:C42"/>
    <mergeCell ref="J41:J42"/>
    <mergeCell ref="K41:K42"/>
    <mergeCell ref="A43:A44"/>
    <mergeCell ref="B43:B44"/>
    <mergeCell ref="C43:C44"/>
    <mergeCell ref="J43:J44"/>
    <mergeCell ref="K43:K44"/>
    <mergeCell ref="A45:A46"/>
    <mergeCell ref="B45:B46"/>
    <mergeCell ref="C45:C46"/>
    <mergeCell ref="A37:A38"/>
    <mergeCell ref="B37:B38"/>
    <mergeCell ref="C37:C38"/>
    <mergeCell ref="J37:J38"/>
    <mergeCell ref="K37:K38"/>
    <mergeCell ref="A39:A40"/>
    <mergeCell ref="B39:B40"/>
    <mergeCell ref="C39:C40"/>
    <mergeCell ref="J39:J40"/>
    <mergeCell ref="K39:K40"/>
    <mergeCell ref="A33:A34"/>
    <mergeCell ref="B33:B34"/>
    <mergeCell ref="C33:C34"/>
    <mergeCell ref="J33:J34"/>
    <mergeCell ref="K33:K34"/>
    <mergeCell ref="A35:A36"/>
    <mergeCell ref="B35:B36"/>
    <mergeCell ref="C35:C36"/>
    <mergeCell ref="J35:J36"/>
    <mergeCell ref="K35:K36"/>
    <mergeCell ref="A27:A30"/>
    <mergeCell ref="B27:B30"/>
    <mergeCell ref="C27:C30"/>
    <mergeCell ref="J27:J30"/>
    <mergeCell ref="K27:K30"/>
    <mergeCell ref="A31:A32"/>
    <mergeCell ref="B31:B32"/>
    <mergeCell ref="C31:C32"/>
    <mergeCell ref="J31:J32"/>
    <mergeCell ref="K31:K32"/>
    <mergeCell ref="A19:A22"/>
    <mergeCell ref="B19:B22"/>
    <mergeCell ref="C19:C22"/>
    <mergeCell ref="J19:J22"/>
    <mergeCell ref="K19:K22"/>
    <mergeCell ref="A23:A26"/>
    <mergeCell ref="B23:B26"/>
    <mergeCell ref="C23:C26"/>
    <mergeCell ref="J23:J26"/>
    <mergeCell ref="K23:K26"/>
    <mergeCell ref="L13:L14"/>
    <mergeCell ref="A15:A18"/>
    <mergeCell ref="B15:B18"/>
    <mergeCell ref="C15:C18"/>
    <mergeCell ref="J15:J18"/>
    <mergeCell ref="K15:K18"/>
    <mergeCell ref="A10:C10"/>
    <mergeCell ref="I10:K10"/>
    <mergeCell ref="A13:A14"/>
    <mergeCell ref="B13:B14"/>
    <mergeCell ref="C13:C14"/>
    <mergeCell ref="E13:G13"/>
    <mergeCell ref="H13:H14"/>
    <mergeCell ref="I13:K13"/>
    <mergeCell ref="F5:L5"/>
    <mergeCell ref="A7:C7"/>
    <mergeCell ref="A8:C8"/>
    <mergeCell ref="I8:K8"/>
    <mergeCell ref="A9:C9"/>
    <mergeCell ref="I9:K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3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Fac Dec 2025</vt:lpstr>
      <vt:lpstr>Fac Janv 2026</vt:lpstr>
      <vt:lpstr>Fac Fevrier 2026)</vt:lpstr>
      <vt:lpstr>Fac Mars 2026</vt:lpstr>
      <vt:lpstr>Fac Avril 2026</vt:lpstr>
      <vt:lpstr>Fac Mai 2026</vt:lpstr>
      <vt:lpstr>Fac Juin 2026</vt:lpstr>
      <vt:lpstr>Fac Juillet 2026</vt:lpstr>
      <vt:lpstr>Fac Aout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KANTE</dc:creator>
  <cp:lastModifiedBy>burinfort BURINFORT SA</cp:lastModifiedBy>
  <cp:lastPrinted>2026-03-17T11:10:30Z</cp:lastPrinted>
  <dcterms:created xsi:type="dcterms:W3CDTF">2020-08-16T08:51:37Z</dcterms:created>
  <dcterms:modified xsi:type="dcterms:W3CDTF">2026-10-05T09:13:36Z</dcterms:modified>
</cp:coreProperties>
</file>